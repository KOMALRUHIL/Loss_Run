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mcglobal-my.sharepoint.com/personal/rakesh_dangi_marsh_com/Documents/Desktop/Sample data for Agentic AI discussion/Loss files/"/>
    </mc:Choice>
  </mc:AlternateContent>
  <xr:revisionPtr revIDLastSave="13" documentId="13_ncr:1_{8FA17265-373F-4755-BACF-243EC5B9EF2F}" xr6:coauthVersionLast="47" xr6:coauthVersionMax="47" xr10:uidLastSave="{587E4902-E9AB-41B3-BBC0-8A1B5C591F2A}"/>
  <bookViews>
    <workbookView xWindow="-110" yWindow="-110" windowWidth="19420" windowHeight="10300" activeTab="1" xr2:uid="{F897F119-C17C-497E-ABA2-6F511E952249}"/>
  </bookViews>
  <sheets>
    <sheet name="16-21 Detail" sheetId="6" r:id="rId1"/>
    <sheet name="22-25 Detail" sheetId="1" r:id="rId2"/>
    <sheet name="Summary" sheetId="4" r:id="rId3"/>
  </sheets>
  <definedNames>
    <definedName name="_xlnm._FilterDatabase" localSheetId="0" hidden="1">'16-21 Detail'!$A$1:$AJ$1</definedName>
    <definedName name="_xlnm._FilterDatabase" localSheetId="1" hidden="1">'22-25 Detail'!$A$2:$AD$2</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79" i="6" l="1"/>
  <c r="AF578" i="6"/>
  <c r="AF577" i="6"/>
  <c r="AF576" i="6"/>
  <c r="AF575" i="6"/>
  <c r="AF574" i="6"/>
  <c r="AF573" i="6"/>
  <c r="AF572" i="6"/>
  <c r="AF571" i="6"/>
  <c r="AF570" i="6"/>
  <c r="AF569" i="6"/>
  <c r="AF568" i="6"/>
  <c r="AF567" i="6"/>
  <c r="AF566" i="6"/>
  <c r="AF565" i="6"/>
  <c r="AF564" i="6"/>
  <c r="AF563" i="6"/>
  <c r="AF562" i="6"/>
  <c r="AF561" i="6"/>
  <c r="AF560" i="6"/>
  <c r="AF559" i="6"/>
  <c r="AF558" i="6"/>
  <c r="AF557" i="6"/>
  <c r="AF556" i="6"/>
  <c r="AF555" i="6"/>
  <c r="AF554" i="6"/>
  <c r="AF553" i="6"/>
  <c r="AF552" i="6"/>
  <c r="AF551" i="6"/>
  <c r="AF550" i="6"/>
  <c r="AF549" i="6"/>
  <c r="AF548" i="6"/>
  <c r="AF547" i="6"/>
  <c r="AF546" i="6"/>
  <c r="AF545" i="6"/>
  <c r="AF544" i="6"/>
  <c r="AF543" i="6"/>
  <c r="AF542" i="6"/>
  <c r="AF541" i="6"/>
  <c r="AF540" i="6"/>
  <c r="AF539" i="6"/>
  <c r="AF538" i="6"/>
  <c r="AF537" i="6"/>
  <c r="AF536" i="6"/>
  <c r="AF535" i="6"/>
  <c r="AF534" i="6"/>
  <c r="AF533" i="6"/>
  <c r="AF532" i="6"/>
  <c r="AF531" i="6"/>
  <c r="AF530" i="6"/>
  <c r="AF529" i="6"/>
  <c r="AF528" i="6"/>
  <c r="AF527" i="6"/>
  <c r="AF526" i="6"/>
  <c r="AF525" i="6"/>
  <c r="AF524" i="6"/>
  <c r="AF523" i="6"/>
  <c r="AF522" i="6"/>
  <c r="AF521" i="6"/>
  <c r="AF520" i="6"/>
  <c r="AF519" i="6"/>
  <c r="AF518" i="6"/>
  <c r="AF517" i="6"/>
  <c r="AF516" i="6"/>
  <c r="AF515" i="6"/>
  <c r="AF514" i="6"/>
  <c r="AF513" i="6"/>
  <c r="AF512" i="6"/>
  <c r="AF511" i="6"/>
  <c r="AF510" i="6"/>
  <c r="AF509" i="6"/>
  <c r="AF508" i="6"/>
  <c r="AF507" i="6"/>
  <c r="AF506" i="6"/>
  <c r="AF505" i="6"/>
  <c r="AF504" i="6"/>
  <c r="AF503" i="6"/>
  <c r="AF502" i="6"/>
  <c r="AF501" i="6"/>
  <c r="AF500" i="6"/>
  <c r="AF499" i="6"/>
  <c r="AF498" i="6"/>
  <c r="AF497" i="6"/>
  <c r="AF496" i="6"/>
  <c r="AF495" i="6"/>
  <c r="AF494" i="6"/>
  <c r="AF493" i="6"/>
  <c r="AF492" i="6"/>
  <c r="AF491" i="6"/>
  <c r="AF490" i="6"/>
  <c r="AF489" i="6"/>
  <c r="AF488" i="6"/>
  <c r="AF487" i="6"/>
  <c r="AF486" i="6"/>
  <c r="AF485" i="6"/>
  <c r="AF484" i="6"/>
  <c r="AF483" i="6"/>
  <c r="AF482" i="6"/>
  <c r="AF481" i="6"/>
  <c r="AF480" i="6"/>
  <c r="AF479" i="6"/>
  <c r="AF478" i="6"/>
  <c r="AF477" i="6"/>
  <c r="AF476" i="6"/>
  <c r="AF475" i="6"/>
  <c r="AF474" i="6"/>
  <c r="AF473" i="6"/>
  <c r="AF472" i="6"/>
  <c r="AF471" i="6"/>
  <c r="AF470" i="6"/>
  <c r="AF469" i="6"/>
  <c r="AF468" i="6"/>
  <c r="AF467" i="6"/>
  <c r="AF466" i="6"/>
  <c r="AF465" i="6"/>
  <c r="AF464" i="6"/>
  <c r="AF463" i="6"/>
  <c r="AF462" i="6"/>
  <c r="AF461" i="6"/>
  <c r="AF460" i="6"/>
  <c r="AF459" i="6"/>
  <c r="AF458" i="6"/>
  <c r="AF457" i="6"/>
  <c r="AF456" i="6"/>
  <c r="AF455" i="6"/>
  <c r="AF454" i="6"/>
  <c r="AF453" i="6"/>
  <c r="AF452" i="6"/>
  <c r="AF451" i="6"/>
  <c r="AF450" i="6"/>
  <c r="AF449" i="6"/>
  <c r="AF448" i="6"/>
  <c r="AF447" i="6"/>
  <c r="AF446" i="6"/>
  <c r="AF445" i="6"/>
  <c r="AF444" i="6"/>
  <c r="AF443" i="6"/>
  <c r="AF442" i="6"/>
  <c r="AF441" i="6"/>
  <c r="AF440" i="6"/>
  <c r="AF439" i="6"/>
  <c r="AF438" i="6"/>
  <c r="AF437" i="6"/>
  <c r="AF436" i="6"/>
  <c r="AF435" i="6"/>
  <c r="AF434" i="6"/>
  <c r="AF433" i="6"/>
  <c r="AF432" i="6"/>
  <c r="AF431" i="6"/>
  <c r="AF430" i="6"/>
  <c r="AF429" i="6"/>
  <c r="AF428" i="6"/>
  <c r="AF427" i="6"/>
  <c r="AF426" i="6"/>
  <c r="AF425" i="6"/>
  <c r="AF424" i="6"/>
  <c r="AF423" i="6"/>
  <c r="AF422" i="6"/>
  <c r="AF421" i="6"/>
  <c r="AF420" i="6"/>
  <c r="AF419" i="6"/>
  <c r="AF418" i="6"/>
  <c r="AF417" i="6"/>
  <c r="AF416" i="6"/>
  <c r="AF415" i="6"/>
  <c r="AF414" i="6"/>
  <c r="AF413" i="6"/>
  <c r="AF412" i="6"/>
  <c r="AF411" i="6"/>
  <c r="AF410" i="6"/>
  <c r="AF409" i="6"/>
  <c r="AF408" i="6"/>
  <c r="AF407" i="6"/>
  <c r="AF406" i="6"/>
  <c r="AF405" i="6"/>
  <c r="AF404" i="6"/>
  <c r="AF403" i="6"/>
  <c r="AF402" i="6"/>
  <c r="AF401" i="6"/>
  <c r="AF400" i="6"/>
  <c r="AF399" i="6"/>
  <c r="AF398" i="6"/>
  <c r="AF397" i="6"/>
  <c r="AF396" i="6"/>
  <c r="AF395" i="6"/>
  <c r="AF394" i="6"/>
  <c r="AF393" i="6"/>
  <c r="AF392" i="6"/>
  <c r="AF391" i="6"/>
  <c r="AF390" i="6"/>
  <c r="AF389" i="6"/>
  <c r="AF388" i="6"/>
  <c r="AF387" i="6"/>
  <c r="AF386" i="6"/>
  <c r="AF385" i="6"/>
  <c r="AF384" i="6"/>
  <c r="AF383" i="6"/>
  <c r="AF382" i="6"/>
  <c r="AF381" i="6"/>
  <c r="AF380" i="6"/>
  <c r="AF379" i="6"/>
  <c r="AF378" i="6"/>
  <c r="AF377" i="6"/>
  <c r="AF376" i="6"/>
  <c r="AF375" i="6"/>
  <c r="AF374" i="6"/>
  <c r="AF373" i="6"/>
  <c r="AF372" i="6"/>
  <c r="AF371" i="6"/>
  <c r="AF370" i="6"/>
  <c r="AF369" i="6"/>
  <c r="AF368" i="6"/>
  <c r="AF367" i="6"/>
  <c r="AF366" i="6"/>
  <c r="AF365" i="6"/>
  <c r="AF364" i="6"/>
  <c r="AF363" i="6"/>
  <c r="AF362" i="6"/>
  <c r="AF361" i="6"/>
  <c r="AF360" i="6"/>
  <c r="AF359" i="6"/>
  <c r="AF358" i="6"/>
  <c r="AF357" i="6"/>
  <c r="AF356" i="6"/>
  <c r="AF355" i="6"/>
  <c r="AF354" i="6"/>
  <c r="AF353" i="6"/>
  <c r="AF352" i="6"/>
  <c r="AF351" i="6"/>
  <c r="AF350" i="6"/>
  <c r="AF349" i="6"/>
  <c r="AF348" i="6"/>
  <c r="AF347" i="6"/>
  <c r="AF346" i="6"/>
  <c r="AF345" i="6"/>
  <c r="AF344" i="6"/>
  <c r="AF343" i="6"/>
  <c r="AF342" i="6"/>
  <c r="AF341" i="6"/>
  <c r="AF340" i="6"/>
  <c r="AF339" i="6"/>
  <c r="AF338" i="6"/>
  <c r="AF337" i="6"/>
  <c r="AF336" i="6"/>
  <c r="AF335" i="6"/>
  <c r="AF334" i="6"/>
  <c r="AF333" i="6"/>
  <c r="AF332" i="6"/>
  <c r="AF331" i="6"/>
  <c r="AF330" i="6"/>
  <c r="AF329" i="6"/>
  <c r="AF328" i="6"/>
  <c r="AF327" i="6"/>
  <c r="AF326" i="6"/>
  <c r="AF325" i="6"/>
  <c r="AF324" i="6"/>
  <c r="AF323" i="6"/>
  <c r="AF322" i="6"/>
  <c r="AF321" i="6"/>
  <c r="AF320" i="6"/>
  <c r="AF319" i="6"/>
  <c r="AF318" i="6"/>
  <c r="AF317" i="6"/>
  <c r="AF316" i="6"/>
  <c r="AF315" i="6"/>
  <c r="AF314" i="6"/>
  <c r="AF313" i="6"/>
  <c r="AF312" i="6"/>
  <c r="AF311" i="6"/>
  <c r="AF310" i="6"/>
  <c r="AF309" i="6"/>
  <c r="AF308" i="6"/>
  <c r="AF307" i="6"/>
  <c r="AF306" i="6"/>
  <c r="AF305" i="6"/>
  <c r="AF304" i="6"/>
  <c r="AF303" i="6"/>
  <c r="AF302" i="6"/>
  <c r="AF301" i="6"/>
  <c r="AF300" i="6"/>
  <c r="AF299" i="6"/>
  <c r="AF298" i="6"/>
  <c r="AF297" i="6"/>
  <c r="AF296" i="6"/>
  <c r="AF295" i="6"/>
  <c r="AF294" i="6"/>
  <c r="AF293" i="6"/>
  <c r="AF292" i="6"/>
  <c r="AF291" i="6"/>
  <c r="AF290" i="6"/>
  <c r="AF289" i="6"/>
  <c r="AF288" i="6"/>
  <c r="AF287" i="6"/>
  <c r="AF286" i="6"/>
  <c r="AF285" i="6"/>
  <c r="AF284" i="6"/>
  <c r="AF283" i="6"/>
  <c r="AF282" i="6"/>
  <c r="AF281" i="6"/>
  <c r="AF280" i="6"/>
  <c r="AF279" i="6"/>
  <c r="AF278" i="6"/>
  <c r="AF277" i="6"/>
  <c r="AF276" i="6"/>
  <c r="AF275" i="6"/>
  <c r="AF274" i="6"/>
  <c r="AF273" i="6"/>
  <c r="AF272" i="6"/>
  <c r="AF271" i="6"/>
  <c r="AF270" i="6"/>
  <c r="AF269" i="6"/>
  <c r="AF268" i="6"/>
  <c r="AF267" i="6"/>
  <c r="AF266" i="6"/>
  <c r="AF265" i="6"/>
  <c r="AF264" i="6"/>
  <c r="AF263" i="6"/>
  <c r="AF262" i="6"/>
  <c r="AF261" i="6"/>
  <c r="AF260" i="6"/>
  <c r="AF259" i="6"/>
  <c r="AF258" i="6"/>
  <c r="AF257" i="6"/>
  <c r="AF256" i="6"/>
  <c r="AF255" i="6"/>
  <c r="AF254" i="6"/>
  <c r="AF253" i="6"/>
  <c r="AF252" i="6"/>
  <c r="AF251" i="6"/>
  <c r="AF250" i="6"/>
  <c r="AF249" i="6"/>
  <c r="AF248" i="6"/>
  <c r="AF247" i="6"/>
  <c r="AF246" i="6"/>
  <c r="AF245" i="6"/>
  <c r="AF244" i="6"/>
  <c r="AF243" i="6"/>
  <c r="AF242" i="6"/>
  <c r="AF241" i="6"/>
  <c r="AF240" i="6"/>
  <c r="AF239" i="6"/>
  <c r="AF238" i="6"/>
  <c r="AF237" i="6"/>
  <c r="AF236" i="6"/>
  <c r="AF235" i="6"/>
  <c r="AF234" i="6"/>
  <c r="AF233" i="6"/>
  <c r="AF232" i="6"/>
  <c r="AF231" i="6"/>
  <c r="AF230" i="6"/>
  <c r="AF229" i="6"/>
  <c r="AF228" i="6"/>
  <c r="AF227" i="6"/>
  <c r="AF226" i="6"/>
  <c r="AF225" i="6"/>
  <c r="AF224" i="6"/>
  <c r="AF223" i="6"/>
  <c r="AF222" i="6"/>
  <c r="AF221" i="6"/>
  <c r="AF220" i="6"/>
  <c r="AF219" i="6"/>
  <c r="AF218" i="6"/>
  <c r="AF217" i="6"/>
  <c r="AF216" i="6"/>
  <c r="AF215" i="6"/>
  <c r="AF214" i="6"/>
  <c r="AF213" i="6"/>
  <c r="AF212" i="6"/>
  <c r="AF211" i="6"/>
  <c r="AF210" i="6"/>
  <c r="AF209" i="6"/>
  <c r="AF208" i="6"/>
  <c r="AF207" i="6"/>
  <c r="AF206" i="6"/>
  <c r="AF205" i="6"/>
  <c r="AF204" i="6"/>
  <c r="AF203" i="6"/>
  <c r="AF202" i="6"/>
  <c r="AF201" i="6"/>
  <c r="AF200" i="6"/>
  <c r="AF199" i="6"/>
  <c r="AF198" i="6"/>
  <c r="AF197" i="6"/>
  <c r="AF196" i="6"/>
  <c r="AF195" i="6"/>
  <c r="AF194" i="6"/>
  <c r="AF193" i="6"/>
  <c r="AF192" i="6"/>
  <c r="AF191" i="6"/>
  <c r="AF190" i="6"/>
  <c r="AF189" i="6"/>
  <c r="AF188" i="6"/>
  <c r="AF187" i="6"/>
  <c r="AF186" i="6"/>
  <c r="AF185" i="6"/>
  <c r="AF184" i="6"/>
  <c r="AF183" i="6"/>
  <c r="AF182" i="6"/>
  <c r="AF181" i="6"/>
  <c r="AF180" i="6"/>
  <c r="AF179" i="6"/>
  <c r="AF178" i="6"/>
  <c r="AF177" i="6"/>
  <c r="AF176" i="6"/>
  <c r="AF175" i="6"/>
  <c r="AF174" i="6"/>
  <c r="AF173" i="6"/>
  <c r="AF172" i="6"/>
  <c r="AF171" i="6"/>
  <c r="AF170" i="6"/>
  <c r="AF169" i="6"/>
  <c r="AF168" i="6"/>
  <c r="AF167" i="6"/>
  <c r="AF166" i="6"/>
  <c r="AF165" i="6"/>
  <c r="AF164" i="6"/>
  <c r="AF163" i="6"/>
  <c r="AF162" i="6"/>
  <c r="AF161" i="6"/>
  <c r="AF160" i="6"/>
  <c r="AF159" i="6"/>
  <c r="AF158" i="6"/>
  <c r="AF157" i="6"/>
  <c r="AF156" i="6"/>
  <c r="AF155" i="6"/>
  <c r="AF154" i="6"/>
  <c r="AF153" i="6"/>
  <c r="AF152" i="6"/>
  <c r="AF151" i="6"/>
  <c r="AF150" i="6"/>
  <c r="AF149" i="6"/>
  <c r="AF148" i="6"/>
  <c r="AF147" i="6"/>
  <c r="AF146" i="6"/>
  <c r="AF145" i="6"/>
  <c r="AF144" i="6"/>
  <c r="AF143" i="6"/>
  <c r="AF142" i="6"/>
  <c r="AF141" i="6"/>
  <c r="AF140" i="6"/>
  <c r="AF139" i="6"/>
  <c r="AF138" i="6"/>
  <c r="AF137" i="6"/>
  <c r="AF136" i="6"/>
  <c r="AF135" i="6"/>
  <c r="AF134" i="6"/>
  <c r="AF133" i="6"/>
  <c r="AF132" i="6"/>
  <c r="AF131" i="6"/>
  <c r="AF130" i="6"/>
  <c r="AF129" i="6"/>
  <c r="AF128" i="6"/>
  <c r="AF127" i="6"/>
  <c r="AF126" i="6"/>
  <c r="AF125" i="6"/>
  <c r="AF124" i="6"/>
  <c r="AF123" i="6"/>
  <c r="AF122" i="6"/>
  <c r="AF121" i="6"/>
  <c r="AF120" i="6"/>
  <c r="AF119" i="6"/>
  <c r="AF118" i="6"/>
  <c r="AF117" i="6"/>
  <c r="AF116" i="6"/>
  <c r="AF115" i="6"/>
  <c r="AF114" i="6"/>
  <c r="AF113" i="6"/>
  <c r="AF112" i="6"/>
  <c r="AF111" i="6"/>
  <c r="AF110" i="6"/>
  <c r="AF109" i="6"/>
  <c r="AF108" i="6"/>
  <c r="AF107" i="6"/>
  <c r="AF106" i="6"/>
  <c r="AF105" i="6"/>
  <c r="AF104" i="6"/>
  <c r="AF103" i="6"/>
  <c r="AF102" i="6"/>
  <c r="AF101" i="6"/>
  <c r="AF100" i="6"/>
  <c r="AF99" i="6"/>
  <c r="AF98" i="6"/>
  <c r="AF97" i="6"/>
  <c r="AF96" i="6"/>
  <c r="AF95" i="6"/>
  <c r="AF94" i="6"/>
  <c r="AF93" i="6"/>
  <c r="AF92" i="6"/>
  <c r="AF91" i="6"/>
  <c r="AF90" i="6"/>
  <c r="AF89" i="6"/>
  <c r="AF88" i="6"/>
  <c r="AF87" i="6"/>
  <c r="AF86" i="6"/>
  <c r="AF85" i="6"/>
  <c r="AF84" i="6"/>
  <c r="AF83" i="6"/>
  <c r="AF82" i="6"/>
  <c r="AF81" i="6"/>
  <c r="AF80" i="6"/>
  <c r="AF79" i="6"/>
  <c r="AF78" i="6"/>
  <c r="AF77" i="6"/>
  <c r="AF76" i="6"/>
  <c r="AF75" i="6"/>
  <c r="AF74" i="6"/>
  <c r="AF73" i="6"/>
  <c r="AF72" i="6"/>
  <c r="AF71" i="6"/>
  <c r="AF70" i="6"/>
  <c r="AF69" i="6"/>
  <c r="AF68" i="6"/>
  <c r="AF67" i="6"/>
  <c r="AF66" i="6"/>
  <c r="AF65" i="6"/>
  <c r="AF64" i="6"/>
  <c r="AF63" i="6"/>
  <c r="AF62" i="6"/>
  <c r="AF61" i="6"/>
  <c r="AF60" i="6"/>
  <c r="AF59" i="6"/>
  <c r="AF58" i="6"/>
  <c r="AF57" i="6"/>
  <c r="AF56" i="6"/>
  <c r="AF55" i="6"/>
  <c r="AF54" i="6"/>
  <c r="AF53" i="6"/>
  <c r="AF52" i="6"/>
  <c r="AF51" i="6"/>
  <c r="AF50" i="6"/>
  <c r="AF49" i="6"/>
  <c r="AF48" i="6"/>
  <c r="AF47" i="6"/>
  <c r="AF46" i="6"/>
  <c r="AF45" i="6"/>
  <c r="AF44" i="6"/>
  <c r="AF43" i="6"/>
  <c r="AF42" i="6"/>
  <c r="AF41" i="6"/>
  <c r="AF40" i="6"/>
  <c r="AF39" i="6"/>
  <c r="AF38" i="6"/>
  <c r="AF37" i="6"/>
  <c r="AF36" i="6"/>
  <c r="AF35" i="6"/>
  <c r="AF34" i="6"/>
  <c r="AF33" i="6"/>
  <c r="AF32" i="6"/>
  <c r="AF31" i="6"/>
  <c r="AF30" i="6"/>
  <c r="AF29" i="6"/>
  <c r="AF28" i="6"/>
  <c r="AF27" i="6"/>
  <c r="AF26" i="6"/>
  <c r="AF25" i="6"/>
  <c r="AF24" i="6"/>
  <c r="AF23" i="6"/>
  <c r="AF22" i="6"/>
  <c r="AF21" i="6"/>
  <c r="AF20" i="6"/>
  <c r="AF19" i="6"/>
  <c r="AF18" i="6"/>
  <c r="AF17" i="6"/>
  <c r="AF16" i="6"/>
  <c r="AF15" i="6"/>
  <c r="AF14" i="6"/>
  <c r="AF13" i="6"/>
  <c r="AF12" i="6"/>
  <c r="AF11" i="6"/>
  <c r="AF10" i="6"/>
  <c r="AF9" i="6"/>
  <c r="AF8" i="6"/>
  <c r="AF7" i="6"/>
  <c r="AF6" i="6"/>
  <c r="AF5" i="6"/>
  <c r="AF4" i="6"/>
  <c r="AF3" i="6"/>
  <c r="AF2" i="6"/>
  <c r="D16" i="4"/>
  <c r="E16" i="4"/>
  <c r="F16" i="4"/>
  <c r="G16" i="4"/>
  <c r="C16" i="4"/>
</calcChain>
</file>

<file path=xl/sharedStrings.xml><?xml version="1.0" encoding="utf-8"?>
<sst xmlns="http://schemas.openxmlformats.org/spreadsheetml/2006/main" count="11942" uniqueCount="2449">
  <si>
    <t>Accident State</t>
  </si>
  <si>
    <t>Catalyst</t>
  </si>
  <si>
    <t>Date of Hire</t>
  </si>
  <si>
    <t>Date Reopened</t>
  </si>
  <si>
    <t>Litigation Status</t>
  </si>
  <si>
    <t>Nature of Injury</t>
  </si>
  <si>
    <t>Part of Body</t>
  </si>
  <si>
    <t>Cause</t>
  </si>
  <si>
    <t>Claim Number</t>
  </si>
  <si>
    <t>Status</t>
  </si>
  <si>
    <t>Claimant Name</t>
  </si>
  <si>
    <t>Loss Date</t>
  </si>
  <si>
    <t>Carrier Report Date</t>
  </si>
  <si>
    <t>Location</t>
  </si>
  <si>
    <t>Date Closed</t>
  </si>
  <si>
    <t>Lost Time Days</t>
  </si>
  <si>
    <t>Incurred Medical</t>
  </si>
  <si>
    <t>Incurred Indemnity</t>
  </si>
  <si>
    <t>Incurred Expense</t>
  </si>
  <si>
    <t>Total Incurred</t>
  </si>
  <si>
    <t>Paid Medical</t>
  </si>
  <si>
    <t>Paid Indemnity</t>
  </si>
  <si>
    <t>Paid Expense</t>
  </si>
  <si>
    <t>Total Paid</t>
  </si>
  <si>
    <t>Medical O/R</t>
  </si>
  <si>
    <t>Indemnity O/R</t>
  </si>
  <si>
    <t>Expense O/R</t>
  </si>
  <si>
    <t>Outstanding Reserve</t>
  </si>
  <si>
    <t>Applied Recovery</t>
  </si>
  <si>
    <t>0QV - BODILY REACTION</t>
  </si>
  <si>
    <t>WC390G06304</t>
  </si>
  <si>
    <t>Closed</t>
  </si>
  <si>
    <t>UE_BHAM - UNITED EAST BELLINGHAM BELLINGHAM MA</t>
  </si>
  <si>
    <t>MA</t>
  </si>
  <si>
    <t>7300 - PALLETS</t>
  </si>
  <si>
    <t xml:space="preserve"> </t>
  </si>
  <si>
    <t>310 - SPR/STRAIN</t>
  </si>
  <si>
    <t>0421 - UPR BACK</t>
  </si>
  <si>
    <t>0RA - STRUCK BY/AGAINST OBJECTS OR OTHER PERSONS</t>
  </si>
  <si>
    <t>WC390F25129</t>
  </si>
  <si>
    <t>5600 - VEHICLES</t>
  </si>
  <si>
    <t>400 - MULTIPLE</t>
  </si>
  <si>
    <t>0700 - MULT PTS.</t>
  </si>
  <si>
    <t>WC555H16783</t>
  </si>
  <si>
    <t>SESC_DLTH - STRATEGIC EQUIPMENT DULUTH DULUTH GA</t>
  </si>
  <si>
    <t>GA</t>
  </si>
  <si>
    <t>4100 - METAL</t>
  </si>
  <si>
    <t>170 - CUTS</t>
  </si>
  <si>
    <t>0350 - THUMB</t>
  </si>
  <si>
    <t>WC608G64829</t>
  </si>
  <si>
    <t>CTYSDC_ANAHM - CHEFS TOYS DC ANAHEIM ANAHEIM CA</t>
  </si>
  <si>
    <t>CA</t>
  </si>
  <si>
    <t>2246 - BOXCUTTER</t>
  </si>
  <si>
    <t>0340 - FINGER</t>
  </si>
  <si>
    <t>0WY - REPETITIVE MOTION</t>
  </si>
  <si>
    <t>WC608H32172</t>
  </si>
  <si>
    <t>CTYS_FV - CHEFS TOYS FOUNTAIN VALLEY FOUNTAIN VALLEY CA</t>
  </si>
  <si>
    <t>0400 - BODILY MOTION</t>
  </si>
  <si>
    <t>C</t>
  </si>
  <si>
    <t>0200 - NECK</t>
  </si>
  <si>
    <t>WC413F11334</t>
  </si>
  <si>
    <t>MRLN_BFDPK - MARLINN BEDFORD PARK BEDFORD PARK IL</t>
  </si>
  <si>
    <t>IL</t>
  </si>
  <si>
    <t>7700 - OTHER PERSON</t>
  </si>
  <si>
    <t>160 - BRUISE/CONTU</t>
  </si>
  <si>
    <t>0513 - KNEE</t>
  </si>
  <si>
    <t>0YK - ASSAULT/BATTERY-NOC</t>
  </si>
  <si>
    <t>WC949F24394</t>
  </si>
  <si>
    <t>RWS_LWSVLE - RW SMITH LEWISVILLE LEWISVILLE TX</t>
  </si>
  <si>
    <t>TX</t>
  </si>
  <si>
    <t>7699 - ASSAULT/HARR</t>
  </si>
  <si>
    <t>0430 - CHEST</t>
  </si>
  <si>
    <t>WC608H71996</t>
  </si>
  <si>
    <t>RAY_IRV - RAYGAL IRVINE IRVINE CA</t>
  </si>
  <si>
    <t>5833 - CURB</t>
  </si>
  <si>
    <t>260 - INFLAMATION</t>
  </si>
  <si>
    <t>0520 - ANKLE</t>
  </si>
  <si>
    <t>WC413G33405</t>
  </si>
  <si>
    <t>HKBG_DES - HOCKENBERGS DES MOINES DES MOINES IA</t>
  </si>
  <si>
    <t>IA</t>
  </si>
  <si>
    <t>1951 - FLOOR/UNEVEN</t>
  </si>
  <si>
    <t>0309 - ARM-LOWER</t>
  </si>
  <si>
    <t>0HA - MATERIAL HANDLING - MANUAL</t>
  </si>
  <si>
    <t>WC555F92802</t>
  </si>
  <si>
    <t>SESC_TMPA - STRATEGIC EQUIPMENT TAMPA TAMPA FL</t>
  </si>
  <si>
    <t>FL</t>
  </si>
  <si>
    <t>2295 - WRENCHES</t>
  </si>
  <si>
    <t>0450 - SHOULDER</t>
  </si>
  <si>
    <t>0GA - HIGHWAY VEHICLES</t>
  </si>
  <si>
    <t>WC390M01355</t>
  </si>
  <si>
    <t>0AA - FALLS ON SAME LEVEL</t>
  </si>
  <si>
    <t>WC390G15546</t>
  </si>
  <si>
    <t>4121 - SLIPS</t>
  </si>
  <si>
    <t>0422 - LWR BACK</t>
  </si>
  <si>
    <t>WC555G16140</t>
  </si>
  <si>
    <t>210 - FRACTURE</t>
  </si>
  <si>
    <t>WC413F60995</t>
  </si>
  <si>
    <t>MRLN_RGRS - MARLINN ROGERS ROGERS MN</t>
  </si>
  <si>
    <t>MN</t>
  </si>
  <si>
    <t>0DA - FALLS FROM ELEVATION</t>
  </si>
  <si>
    <t>WC390F79039</t>
  </si>
  <si>
    <t>5801 - FLOORS</t>
  </si>
  <si>
    <t>WC390F73403</t>
  </si>
  <si>
    <t>5907 - WORK MATERIAL</t>
  </si>
  <si>
    <t>WC390G14807</t>
  </si>
  <si>
    <t>0440 - HIPS</t>
  </si>
  <si>
    <t>WC390F87213</t>
  </si>
  <si>
    <t>4030 - WIRE/BANDING</t>
  </si>
  <si>
    <t>0320 - WRIST</t>
  </si>
  <si>
    <t>WC555N03416</t>
  </si>
  <si>
    <t>WC555H19107</t>
  </si>
  <si>
    <t>WC413G40740</t>
  </si>
  <si>
    <t>1952 - FLOOR/SLIPPERY</t>
  </si>
  <si>
    <t>0330 - HAND</t>
  </si>
  <si>
    <t>WC555G45088</t>
  </si>
  <si>
    <t>SESC_ALBCFA - STRATEGIC EQUIPMENT ALBANY CFA ALBANY GA</t>
  </si>
  <si>
    <t>WC390F29207</t>
  </si>
  <si>
    <t>0000 - UNDEFINED</t>
  </si>
  <si>
    <t>000 - UNDEFINED</t>
  </si>
  <si>
    <t>WC413F44788</t>
  </si>
  <si>
    <t>HKBG_OMARGC - HOCKENBERGS OMAHA RGC OMAHA NE</t>
  </si>
  <si>
    <t>NE</t>
  </si>
  <si>
    <t>4110 - FASTENERS</t>
  </si>
  <si>
    <t>0540 - TOES</t>
  </si>
  <si>
    <t>WC555G29518</t>
  </si>
  <si>
    <t>1500 - ELEC. APP.</t>
  </si>
  <si>
    <t>0530 - FOOT</t>
  </si>
  <si>
    <t>WC413G45546</t>
  </si>
  <si>
    <t>0600 - BOXES</t>
  </si>
  <si>
    <t>WC413F18713</t>
  </si>
  <si>
    <t>5700 - WOOD ITEM</t>
  </si>
  <si>
    <t>WC390G46499</t>
  </si>
  <si>
    <t>Open</t>
  </si>
  <si>
    <t>WC413G40252</t>
  </si>
  <si>
    <t>0LB - MOBILE EQUIPMENT-OPERATOR OR RIDER INJURY</t>
  </si>
  <si>
    <t>WC555G54580</t>
  </si>
  <si>
    <t>0YD - ELECTRICAL CONTACT</t>
  </si>
  <si>
    <t>WC80DG35128</t>
  </si>
  <si>
    <t>ABCH_LNDVR - ADAMS BURCH LANDOVER LANDOVER MD</t>
  </si>
  <si>
    <t>MD</t>
  </si>
  <si>
    <t>1510 - ELECTRICITY</t>
  </si>
  <si>
    <t>200 - ELECT SHOCK</t>
  </si>
  <si>
    <t>WC80DH20943</t>
  </si>
  <si>
    <t>WC413F16394</t>
  </si>
  <si>
    <t>HKBG_OMA - HOCKENBERGS OMAHA OMAHA NE</t>
  </si>
  <si>
    <t>0313 - ELBOW</t>
  </si>
  <si>
    <t>WC555G02119</t>
  </si>
  <si>
    <t>WC949F38850</t>
  </si>
  <si>
    <t>SESC_LWSVLE - STRATEGIC EQUIPMENT LEWISVILLE LEWISVILLE TX</t>
  </si>
  <si>
    <t>8000 - FOREIGN OBJ.</t>
  </si>
  <si>
    <t>235 - FOREIGN BODY</t>
  </si>
  <si>
    <t>0130 - EYE</t>
  </si>
  <si>
    <t>WC949G59726</t>
  </si>
  <si>
    <t>3000 - MACHINES</t>
  </si>
  <si>
    <t>WC949G16944</t>
  </si>
  <si>
    <t>4111 - SHARP OBJ NAIL ECT</t>
  </si>
  <si>
    <t>175 - PUNCTURE</t>
  </si>
  <si>
    <t>WC80DG72029</t>
  </si>
  <si>
    <t>O</t>
  </si>
  <si>
    <t>0311 - UPPER ARM</t>
  </si>
  <si>
    <t>WC80DG14495</t>
  </si>
  <si>
    <t>VA</t>
  </si>
  <si>
    <t>0699 - CONTAINERS</t>
  </si>
  <si>
    <t>WC608H57149</t>
  </si>
  <si>
    <t>CTYS_VNYS - CHEFS TOYS VAN NUYS VAN NUYS CA</t>
  </si>
  <si>
    <t>0770 - DOORS</t>
  </si>
  <si>
    <t>WC413G57586</t>
  </si>
  <si>
    <t>WC555H14180</t>
  </si>
  <si>
    <t>SESC_WNSLM - STRATEGIC EQUIPMENT WS WINSTON SALEM NC</t>
  </si>
  <si>
    <t>NC</t>
  </si>
  <si>
    <t>8703 - HOSE</t>
  </si>
  <si>
    <t>0E3 - EXPOSURE TO HARMFUL SUBSTANCES-NOC</t>
  </si>
  <si>
    <t>WC555G03050</t>
  </si>
  <si>
    <t>1181 - FUMES</t>
  </si>
  <si>
    <t>0850 - RESP. SYS</t>
  </si>
  <si>
    <t>WC550C62034</t>
  </si>
  <si>
    <t>SESC_ALBWH - STRATEGIC EQUIPMENT ALBANY WH ALBANY GA</t>
  </si>
  <si>
    <t>WC390G15903</t>
  </si>
  <si>
    <t>WC608G13147</t>
  </si>
  <si>
    <t>CTYS_OAK - CHEFS TOYS OAKLAND OAKLAND CA</t>
  </si>
  <si>
    <t>WC949G31316</t>
  </si>
  <si>
    <t>WC390F48954</t>
  </si>
  <si>
    <t>UE_MANS - UNITED EAST MANSFIELD MANSFIELD MA</t>
  </si>
  <si>
    <t>9030 - LIFTING/BODY MECHANICS</t>
  </si>
  <si>
    <t>0NL - CAUGHT IN/UNDER/BETWEEN</t>
  </si>
  <si>
    <t>WC949N01322</t>
  </si>
  <si>
    <t>9999 - UNKNOWN</t>
  </si>
  <si>
    <t>999 - NOT DETER.</t>
  </si>
  <si>
    <t>0A9 - SLIP OR TRIP - NOT FALL</t>
  </si>
  <si>
    <t>WC390F70523</t>
  </si>
  <si>
    <t>7210 - CINDER BLOCK</t>
  </si>
  <si>
    <t>0509 - LEG-LOWER</t>
  </si>
  <si>
    <t>WC390G39670</t>
  </si>
  <si>
    <t>WC413F78584</t>
  </si>
  <si>
    <t>IN</t>
  </si>
  <si>
    <t>WC413F36636</t>
  </si>
  <si>
    <t>5100 - SOAPS</t>
  </si>
  <si>
    <t>WC390G14989</t>
  </si>
  <si>
    <t>9100 - PAN/TRAY</t>
  </si>
  <si>
    <t>WC555H29773</t>
  </si>
  <si>
    <t>1900 - FURNITURE</t>
  </si>
  <si>
    <t>WC80DF91096</t>
  </si>
  <si>
    <t>WC390F59593</t>
  </si>
  <si>
    <t>WC608P08161</t>
  </si>
  <si>
    <t>RWS_BRSBN - RW SMITH BRISBANE BRISBANE CA</t>
  </si>
  <si>
    <t>WC608G31643</t>
  </si>
  <si>
    <t>CTYS_SANFRAN - CHEFS TOYS SAN FRANCISCO SAN FRANCISCO CA</t>
  </si>
  <si>
    <t>WC949F88476</t>
  </si>
  <si>
    <t>SESC_HSTN - STRATEGIC EQUIPMENT HOUSTON HOUSTON TX</t>
  </si>
  <si>
    <t>WC555H06873</t>
  </si>
  <si>
    <t>WC413M04251</t>
  </si>
  <si>
    <t>HKBG_LNXA - HOCKENBERGS LENEXA LENEXA KS</t>
  </si>
  <si>
    <t>KS</t>
  </si>
  <si>
    <t>0901 - LITTER/DEBRIS</t>
  </si>
  <si>
    <t>WC608G48616</t>
  </si>
  <si>
    <t>CTYS_COMM - CHEFS TOYS COMMERCE COMMERCE CA</t>
  </si>
  <si>
    <t>WC608H05796</t>
  </si>
  <si>
    <t>CTYS_SAC - CHEFS TOYS SACRAMENTO SACRAMENTO CA</t>
  </si>
  <si>
    <t>0550 - WALL/PARTITION</t>
  </si>
  <si>
    <t>165 - CRUSH INJURY</t>
  </si>
  <si>
    <t>WC608G29095</t>
  </si>
  <si>
    <t>0531 - SCREW/BOLTS</t>
  </si>
  <si>
    <t>WC390F59131</t>
  </si>
  <si>
    <t>RI</t>
  </si>
  <si>
    <t>0WW - INJURED BY ANIMAL OR INSECT</t>
  </si>
  <si>
    <t>WC608G33576</t>
  </si>
  <si>
    <t>CTYS_CRNA - CHEFS TOYS CORONA CORONA CA</t>
  </si>
  <si>
    <t>0200 - ANIMALS</t>
  </si>
  <si>
    <t>176 - AML/INS BITE</t>
  </si>
  <si>
    <t>WC390G12024</t>
  </si>
  <si>
    <t>WC413M01986</t>
  </si>
  <si>
    <t>WC608G33569</t>
  </si>
  <si>
    <t>WC949G73831</t>
  </si>
  <si>
    <t>WC413F80599</t>
  </si>
  <si>
    <t>1801 - PRODUCT HANDLING</t>
  </si>
  <si>
    <t>0420 - BACK</t>
  </si>
  <si>
    <t>WC413G30381</t>
  </si>
  <si>
    <t>WC413G71969</t>
  </si>
  <si>
    <t>0146 - NOSE</t>
  </si>
  <si>
    <t>WC949F91477</t>
  </si>
  <si>
    <t>2800 - LADDERS</t>
  </si>
  <si>
    <t>WC555G48125</t>
  </si>
  <si>
    <t>WC608G00665</t>
  </si>
  <si>
    <t>700 - CUMTV TRAUMA</t>
  </si>
  <si>
    <t>WC617A49143</t>
  </si>
  <si>
    <t>RWS_SNDGO_OLDGRVE - RW SMITH SD OLD GROVE SAN DIEGO CA</t>
  </si>
  <si>
    <t>NV</t>
  </si>
  <si>
    <t>1955 - WATER ON FLOOR</t>
  </si>
  <si>
    <t>WC555G34560</t>
  </si>
  <si>
    <t>SESC_MIA - STRATEGIC EQUIPMENT MIAMI SUNRISE FL</t>
  </si>
  <si>
    <t>WC390F42113</t>
  </si>
  <si>
    <t>5830 - OUTSIDE SURFACE</t>
  </si>
  <si>
    <t>WC390F90101</t>
  </si>
  <si>
    <t>2200 - HAND TOOL/NO POWER</t>
  </si>
  <si>
    <t>WC390M05784</t>
  </si>
  <si>
    <t>7310 - PALLETJACK/POWER</t>
  </si>
  <si>
    <t>WC949G32423</t>
  </si>
  <si>
    <t>6050 - FORCEFUL EXERTION</t>
  </si>
  <si>
    <t>WC949G40443</t>
  </si>
  <si>
    <t>4300 - MINL-NON METL.</t>
  </si>
  <si>
    <t>WC413G54152</t>
  </si>
  <si>
    <t>WC413F09696</t>
  </si>
  <si>
    <t>WC608P06499</t>
  </si>
  <si>
    <t>RAY_RCHMND - RAYGAL RICHMOND RICHMOND CA</t>
  </si>
  <si>
    <t>0140 - FACE</t>
  </si>
  <si>
    <t>0YA - MISCELLANEOUS-NOC</t>
  </si>
  <si>
    <t>WC390M05771</t>
  </si>
  <si>
    <t>999999 - UNKNOWN LOCATION</t>
  </si>
  <si>
    <t>WC390F32904</t>
  </si>
  <si>
    <t>WC949G84447</t>
  </si>
  <si>
    <t>0507 - SHELF</t>
  </si>
  <si>
    <t>0T3 - CONTACT WITH TEMP EXTREME HOT OBJECT OR SUBSTANCE</t>
  </si>
  <si>
    <t>WC413G69102</t>
  </si>
  <si>
    <t>120 - BURNS</t>
  </si>
  <si>
    <t>WC949G67573</t>
  </si>
  <si>
    <t>181 - DERMATITIS</t>
  </si>
  <si>
    <t>WC413F58708</t>
  </si>
  <si>
    <t>0410 - ABDOMEN</t>
  </si>
  <si>
    <t>WC555G11323</t>
  </si>
  <si>
    <t>WC390G12213</t>
  </si>
  <si>
    <t>0100 - HEAD</t>
  </si>
  <si>
    <t>WC80DH15804</t>
  </si>
  <si>
    <t>DC</t>
  </si>
  <si>
    <t>WC80DG95188</t>
  </si>
  <si>
    <t>2300 - HAND TOOL/POWER</t>
  </si>
  <si>
    <t>WC80DG95190</t>
  </si>
  <si>
    <t>WC413G40348</t>
  </si>
  <si>
    <t>5641 - FORKLIFT-SIT</t>
  </si>
  <si>
    <t>WC555G32298</t>
  </si>
  <si>
    <t>WC555G65236</t>
  </si>
  <si>
    <t>6300 - OIL GREASE</t>
  </si>
  <si>
    <t>WC413F98516</t>
  </si>
  <si>
    <t>1016 - FACILITIES EQUIPMENT</t>
  </si>
  <si>
    <t>250 - HERNIA</t>
  </si>
  <si>
    <t>WC413F42449</t>
  </si>
  <si>
    <t>WC555G29698</t>
  </si>
  <si>
    <t>SESC_ATL - STRATEGIC EQUIPMENT ATLANTA ATLANTA GA</t>
  </si>
  <si>
    <t>0700 - STRUCTURE</t>
  </si>
  <si>
    <t>WC608G06078</t>
  </si>
  <si>
    <t>WC608G48029</t>
  </si>
  <si>
    <t>140 - CONCUSSION</t>
  </si>
  <si>
    <t>WC608H04766</t>
  </si>
  <si>
    <t>WC949G48251</t>
  </si>
  <si>
    <t>WC80DH02367</t>
  </si>
  <si>
    <t>6500 - TRUCK HAND</t>
  </si>
  <si>
    <t>WC80DH12988</t>
  </si>
  <si>
    <t>0900 - CHEMICAL</t>
  </si>
  <si>
    <t>WC413M03262</t>
  </si>
  <si>
    <t>WC555F90938</t>
  </si>
  <si>
    <t>5920 - HEAT/FRIG EQUIP</t>
  </si>
  <si>
    <t>0412 - PELVIS</t>
  </si>
  <si>
    <t>WC949G40455</t>
  </si>
  <si>
    <t>9700 - ROPE</t>
  </si>
  <si>
    <t>WC80DH12951</t>
  </si>
  <si>
    <t>TN</t>
  </si>
  <si>
    <t>WC80DG32230</t>
  </si>
  <si>
    <t>6450 - TRUCK/TRACTOR</t>
  </si>
  <si>
    <t>WC949G12012</t>
  </si>
  <si>
    <t>WC413F21845</t>
  </si>
  <si>
    <t>WC413G51886</t>
  </si>
  <si>
    <t>WC413G41562</t>
  </si>
  <si>
    <t>WC555H03442</t>
  </si>
  <si>
    <t>WC413M04751</t>
  </si>
  <si>
    <t>WC413F33367</t>
  </si>
  <si>
    <t>WC390G10911</t>
  </si>
  <si>
    <t>NH</t>
  </si>
  <si>
    <t>WC555H09730</t>
  </si>
  <si>
    <t>WC608H64652</t>
  </si>
  <si>
    <t>0W9 - MENTAL STRESS-OCCUPATIONAL</t>
  </si>
  <si>
    <t>WC608G10501</t>
  </si>
  <si>
    <t>CTYS_ANAHM - CHEFS TOYS ANAHEIM ANAHEIM CA</t>
  </si>
  <si>
    <t>WC413G44589</t>
  </si>
  <si>
    <t>8600 - VEHICLE/POWER</t>
  </si>
  <si>
    <t>0110 - BRAIN</t>
  </si>
  <si>
    <t>WC80DH10194</t>
  </si>
  <si>
    <t>WC413F43547</t>
  </si>
  <si>
    <t>1910 - CHAIRS &amp; SEATS</t>
  </si>
  <si>
    <t>WC390F36279</t>
  </si>
  <si>
    <t>WC608H60237</t>
  </si>
  <si>
    <t>2245 - KNIFE</t>
  </si>
  <si>
    <t>WC413F86267</t>
  </si>
  <si>
    <t>WC413F23641</t>
  </si>
  <si>
    <t>6250 - ICE/SNOW</t>
  </si>
  <si>
    <t>WC390G41513</t>
  </si>
  <si>
    <t>190 - DISLOCATION</t>
  </si>
  <si>
    <t>WC949G37179</t>
  </si>
  <si>
    <t>WC390F23050</t>
  </si>
  <si>
    <t>WC390F43182</t>
  </si>
  <si>
    <t>5840 - STAIRS, STEPS</t>
  </si>
  <si>
    <t>WC390G18873</t>
  </si>
  <si>
    <t>WC390F44707</t>
  </si>
  <si>
    <t>WC390F32452</t>
  </si>
  <si>
    <t>SC</t>
  </si>
  <si>
    <t>WC413G57509</t>
  </si>
  <si>
    <t>WC413G43899</t>
  </si>
  <si>
    <t>WC949G47261</t>
  </si>
  <si>
    <t>NJ</t>
  </si>
  <si>
    <t>WC608H52690</t>
  </si>
  <si>
    <t>WC608H52501</t>
  </si>
  <si>
    <t>WC555G67307</t>
  </si>
  <si>
    <t>WC413G55012</t>
  </si>
  <si>
    <t>WC413G48439</t>
  </si>
  <si>
    <t>WC949G86075</t>
  </si>
  <si>
    <t>WC608G64969</t>
  </si>
  <si>
    <t>WC608G65092</t>
  </si>
  <si>
    <t>WC608F93048</t>
  </si>
  <si>
    <t>WC555G93674</t>
  </si>
  <si>
    <t>WC413G71026</t>
  </si>
  <si>
    <t>WC413F21846</t>
  </si>
  <si>
    <t>WC608G29759</t>
  </si>
  <si>
    <t>7100 - FOOD CONT. NOC</t>
  </si>
  <si>
    <t>WC608G98079</t>
  </si>
  <si>
    <t>WC80DF90164</t>
  </si>
  <si>
    <t>DE</t>
  </si>
  <si>
    <t>WC413G44291</t>
  </si>
  <si>
    <t>WC413G65184</t>
  </si>
  <si>
    <t>WC413M04206</t>
  </si>
  <si>
    <t>WC413F71301</t>
  </si>
  <si>
    <t>0762 - DOCK PLATE</t>
  </si>
  <si>
    <t>WC608F92192</t>
  </si>
  <si>
    <t>CTYS_SNMRCOS - CHEFS TOYS SAN MARCOS SAN MARCOS CA</t>
  </si>
  <si>
    <t>2000 - GLASS</t>
  </si>
  <si>
    <t>WC413F75353</t>
  </si>
  <si>
    <t>WC413G31583</t>
  </si>
  <si>
    <t>WC608G30470</t>
  </si>
  <si>
    <t>CTYS_SNDGO - CHEFS TOYS SAN DIEGO SAN DIEGO CA</t>
  </si>
  <si>
    <t>5650 - RACK</t>
  </si>
  <si>
    <t>WC413G32512</t>
  </si>
  <si>
    <t>WC608H42308</t>
  </si>
  <si>
    <t>5810 - WORK ENVIRONMENT</t>
  </si>
  <si>
    <t>WC608H42306</t>
  </si>
  <si>
    <t>WC413G59331</t>
  </si>
  <si>
    <t>WC413G71971</t>
  </si>
  <si>
    <t>WC608G28660</t>
  </si>
  <si>
    <t>9010 - FALLING OBJECTS</t>
  </si>
  <si>
    <t>WC608G30372</t>
  </si>
  <si>
    <t>WC413G48805</t>
  </si>
  <si>
    <t>WC390F89180</t>
  </si>
  <si>
    <t>1954 - OBJECT ON FLOOR</t>
  </si>
  <si>
    <t>WC413M01522</t>
  </si>
  <si>
    <t>WC390F58458</t>
  </si>
  <si>
    <t>5635 - FORKLIFTS</t>
  </si>
  <si>
    <t>WC555H10995</t>
  </si>
  <si>
    <t>0142 - TEETH</t>
  </si>
  <si>
    <t>WC413G69237</t>
  </si>
  <si>
    <t>WC608G71492</t>
  </si>
  <si>
    <t>RWS_SNDGO_TRADE - RW SMITH SD TRADE ST SAN DIEGO CA</t>
  </si>
  <si>
    <t>0560 - THIGH</t>
  </si>
  <si>
    <t>WC555G51308</t>
  </si>
  <si>
    <t>WC608F97285</t>
  </si>
  <si>
    <t>WC608G70177</t>
  </si>
  <si>
    <t>WC608H04958</t>
  </si>
  <si>
    <t>1800 - FOOD PRODUCT</t>
  </si>
  <si>
    <t>WC413G22591</t>
  </si>
  <si>
    <t>WC949G03579</t>
  </si>
  <si>
    <t>WC608G52097</t>
  </si>
  <si>
    <t>WC608G42580</t>
  </si>
  <si>
    <t>WC608H00457</t>
  </si>
  <si>
    <t>WC608H86151</t>
  </si>
  <si>
    <t>WC413F11470</t>
  </si>
  <si>
    <t>WC608G09365</t>
  </si>
  <si>
    <t>WC949F49463</t>
  </si>
  <si>
    <t>1180 - SOLVENT/CLEANERS</t>
  </si>
  <si>
    <t>WC608G29758</t>
  </si>
  <si>
    <t>WC949G37157</t>
  </si>
  <si>
    <t>WC608G85201</t>
  </si>
  <si>
    <t>WC608G66054</t>
  </si>
  <si>
    <t>WC550C63338</t>
  </si>
  <si>
    <t>WC555G48069</t>
  </si>
  <si>
    <t>WC555G66760</t>
  </si>
  <si>
    <t>WC949G45729</t>
  </si>
  <si>
    <t>6600 - WATER</t>
  </si>
  <si>
    <t>WC608F98103</t>
  </si>
  <si>
    <t>WC413G56759</t>
  </si>
  <si>
    <t>WC390G45639</t>
  </si>
  <si>
    <t>WC413M02967</t>
  </si>
  <si>
    <t>WC413F43180</t>
  </si>
  <si>
    <t>WC555G33231</t>
  </si>
  <si>
    <t>5610 - CART-GEN MERCH</t>
  </si>
  <si>
    <t>WC555G96887</t>
  </si>
  <si>
    <t>5901 - HEAT ATMOSP.</t>
  </si>
  <si>
    <t>WC413F20448</t>
  </si>
  <si>
    <t>WC413F49295</t>
  </si>
  <si>
    <t>5510 - TRUCK RAMP</t>
  </si>
  <si>
    <t>WC80DH13126</t>
  </si>
  <si>
    <t>2598 - LIFT/TILT DEVICE</t>
  </si>
  <si>
    <t>WC608H44177</t>
  </si>
  <si>
    <t>1502 - OVEN/CURING CHAMBER</t>
  </si>
  <si>
    <t>WC555G28049</t>
  </si>
  <si>
    <t>WC555H19737</t>
  </si>
  <si>
    <t>WC413F44036</t>
  </si>
  <si>
    <t>WC80DG35756</t>
  </si>
  <si>
    <t>0LA - MATERIAL HANDLING - MECHANICAL</t>
  </si>
  <si>
    <t>WC413G59824</t>
  </si>
  <si>
    <t>WC413F46690</t>
  </si>
  <si>
    <t>5010 - TEMP EXTREME</t>
  </si>
  <si>
    <t>WC949G36105</t>
  </si>
  <si>
    <t>WC555G08524</t>
  </si>
  <si>
    <t>1501 - MOTORS</t>
  </si>
  <si>
    <t>WC390G65648</t>
  </si>
  <si>
    <t>0760 - DOCKS</t>
  </si>
  <si>
    <t>WC555H20159</t>
  </si>
  <si>
    <t>WC413G68830</t>
  </si>
  <si>
    <t>WC949G55496</t>
  </si>
  <si>
    <t>WC413F22705</t>
  </si>
  <si>
    <t>WC555G86221</t>
  </si>
  <si>
    <t>WC608H06317</t>
  </si>
  <si>
    <t>WC608H44117</t>
  </si>
  <si>
    <t>WC608G31363</t>
  </si>
  <si>
    <t>WC80DH34645</t>
  </si>
  <si>
    <t>SESC_KNOX - STRATEGIC EQUIPMENT KNOXVILLE KNOXVILLE TN</t>
  </si>
  <si>
    <t>WC949G87567</t>
  </si>
  <si>
    <t>AL</t>
  </si>
  <si>
    <t>WC413G55622</t>
  </si>
  <si>
    <t>WC413G71891</t>
  </si>
  <si>
    <t>MRLN_CNTRY - MARLINN COUNTRYSIDE COUNTRYSIDE IL</t>
  </si>
  <si>
    <t>WC949N02928</t>
  </si>
  <si>
    <t>WC390F43517</t>
  </si>
  <si>
    <t>WC949G17286</t>
  </si>
  <si>
    <t>WC555G88771</t>
  </si>
  <si>
    <t>4500 - PAPER</t>
  </si>
  <si>
    <t>WC608H07022</t>
  </si>
  <si>
    <t>WC608P01167</t>
  </si>
  <si>
    <t>WC413G59768</t>
  </si>
  <si>
    <t>2599 - HYDRAULIC EQUIPMENT</t>
  </si>
  <si>
    <t>0144 - MOUTH</t>
  </si>
  <si>
    <t>WC390M05790</t>
  </si>
  <si>
    <t>WC555G63561</t>
  </si>
  <si>
    <t>WC555G98530</t>
  </si>
  <si>
    <t>WC555G49571</t>
  </si>
  <si>
    <t>WC390G08874</t>
  </si>
  <si>
    <t>WC555G55278</t>
  </si>
  <si>
    <t>WC555G63599</t>
  </si>
  <si>
    <t>WC949F80559</t>
  </si>
  <si>
    <t>4020 - CABLE/CHAIN</t>
  </si>
  <si>
    <t>WC555G18501</t>
  </si>
  <si>
    <t>WC949G40900</t>
  </si>
  <si>
    <t>SSK_CVLND - SS KEMP CLEVELAND CLEVELAND OH</t>
  </si>
  <si>
    <t>WC949F31202</t>
  </si>
  <si>
    <t>WC949G41182</t>
  </si>
  <si>
    <t>WC80DG22906</t>
  </si>
  <si>
    <t>WC80DH25177</t>
  </si>
  <si>
    <t>SESC_NASH - STRATEGIC EQUIPMENT NASHVILLE NASHVILLE TN</t>
  </si>
  <si>
    <t>WC413F14397</t>
  </si>
  <si>
    <t>WC555G03920</t>
  </si>
  <si>
    <t>LA</t>
  </si>
  <si>
    <t>WC80DG65280</t>
  </si>
  <si>
    <t>WC80DG62354</t>
  </si>
  <si>
    <t>WC80DH01419</t>
  </si>
  <si>
    <t>WC608H52495</t>
  </si>
  <si>
    <t>WC608H91142</t>
  </si>
  <si>
    <t>Policy Year</t>
  </si>
  <si>
    <t>WC Summary</t>
  </si>
  <si>
    <t>Payroll</t>
  </si>
  <si>
    <t xml:space="preserve">Total </t>
  </si>
  <si>
    <t>Year</t>
  </si>
  <si>
    <t>Claim Count</t>
  </si>
  <si>
    <t>Paid</t>
  </si>
  <si>
    <t>Reserve</t>
  </si>
  <si>
    <t>Business Unit</t>
  </si>
  <si>
    <t>Loc Code</t>
  </si>
  <si>
    <t>Loc Desc</t>
  </si>
  <si>
    <t>Policy Effective Year</t>
  </si>
  <si>
    <t>Policy #</t>
  </si>
  <si>
    <t>Claim #</t>
  </si>
  <si>
    <t>TPA Claim #</t>
  </si>
  <si>
    <t>Legacy Claim #</t>
  </si>
  <si>
    <t>Acc Count</t>
  </si>
  <si>
    <t>Accident Date</t>
  </si>
  <si>
    <t>Report Date</t>
  </si>
  <si>
    <t>Closed Date</t>
  </si>
  <si>
    <t>Coverage</t>
  </si>
  <si>
    <t>Body Part/Damage</t>
  </si>
  <si>
    <t>Cause of Inj/Situation</t>
  </si>
  <si>
    <t>Accident Description</t>
  </si>
  <si>
    <t>State</t>
  </si>
  <si>
    <t>Indemnity Paid</t>
  </si>
  <si>
    <t>Indemnity Reserve</t>
  </si>
  <si>
    <t>Medical Paid</t>
  </si>
  <si>
    <t>Medical Reserve</t>
  </si>
  <si>
    <t>Expense Paid</t>
  </si>
  <si>
    <t>Expense Reserve</t>
  </si>
  <si>
    <t>Subro Recovery</t>
  </si>
  <si>
    <t>Claim Recovery</t>
  </si>
  <si>
    <t>Salvage Recovery</t>
  </si>
  <si>
    <t>Deductible Reimbursement</t>
  </si>
  <si>
    <t>Net Paid</t>
  </si>
  <si>
    <t>Total O/S Reserve</t>
  </si>
  <si>
    <t>Gross Incurred</t>
  </si>
  <si>
    <t>Incident Claim</t>
  </si>
  <si>
    <t>Examiner Name</t>
  </si>
  <si>
    <t>GRS Workers’ Compensation</t>
  </si>
  <si>
    <t>ST0309</t>
  </si>
  <si>
    <t>STRATEGIC EQUIPMENT LLC</t>
  </si>
  <si>
    <t>JCDS1003D0</t>
  </si>
  <si>
    <t>009011001422</t>
  </si>
  <si>
    <t>GB050137</t>
  </si>
  <si>
    <t>LT</t>
  </si>
  <si>
    <t>Internal - Multiple body parts</t>
  </si>
  <si>
    <t>TEMPERATURE EXTREMES</t>
  </si>
  <si>
    <t>All Other Injuries, NOC</t>
  </si>
  <si>
    <t>EE WAS HELPING RECEIVING WITH BREAKING DOWN FREIGHT. ABOUT AN HOURLATER HE BECAME DIZZY AND WAS HAVING TROUBLE BREATHING. HE WAS    TAKEN TO CONCENTRA AND DIAGNOSED WITH HEAT EXHAUSTION.</t>
  </si>
  <si>
    <t>N</t>
  </si>
  <si>
    <t>Colten  Osterman</t>
  </si>
  <si>
    <t>TM1911</t>
  </si>
  <si>
    <t>CHEFS TOYS SACRAMENTO</t>
  </si>
  <si>
    <t>009011001416</t>
  </si>
  <si>
    <t>GB049743</t>
  </si>
  <si>
    <t>Internal - Upper extremities</t>
  </si>
  <si>
    <t>LIFTING</t>
  </si>
  <si>
    <t>Strain</t>
  </si>
  <si>
    <t>EE STATES MOVING BOXES  WHILE LIFTING  FELT A SORENESS TO R WRIST CAUSING FEELING OF NUMBNESS TO R HAND AND WEAKNESS WHEN LIFTING.</t>
  </si>
  <si>
    <t>TM1601</t>
  </si>
  <si>
    <t>TRIMARK ADAMS-BURCH INC</t>
  </si>
  <si>
    <t>09011001420WC01</t>
  </si>
  <si>
    <t>GB050474</t>
  </si>
  <si>
    <t>Internal - Head</t>
  </si>
  <si>
    <t>FALLING OR FLYING OBJECT</t>
  </si>
  <si>
    <t>Puncture</t>
  </si>
  <si>
    <t>MD) EE WENT TO PULL UP THE ROLL UP DOOR TO LOAD TRUCK WHEN SUDDENLY THE ROLLERS FELL OFF THE DOOR, STRIKING HIM IN THE HEAD.</t>
  </si>
  <si>
    <t>TM1914</t>
  </si>
  <si>
    <t>CHEFS TOYS DISTRIBUTION CENTER</t>
  </si>
  <si>
    <t>009011001419</t>
  </si>
  <si>
    <t>GB050473</t>
  </si>
  <si>
    <t>REPETITIVE MOTION</t>
  </si>
  <si>
    <t>EE STATES MOVING ORDERS  LOWERING TABLE  STRETCHED R ARM MUSCLE TOPULL AND TO STOP THE TABLE FROM DROPPING OR FALLING OFF.</t>
  </si>
  <si>
    <t>ST0307</t>
  </si>
  <si>
    <t>STRATEGIC EQUIPMENT DULUTH</t>
  </si>
  <si>
    <t>009011001414</t>
  </si>
  <si>
    <t>GB049741</t>
  </si>
  <si>
    <t>ON SAME LEVEL</t>
  </si>
  <si>
    <t>Sprain</t>
  </si>
  <si>
    <t>ABOUT 5:27AM CLOCKWENT BACKAND GOT MY LIFTCHECK OFF INSPECTION LISTCHECK HARNESS INSPECTION. THEN WENT TO OFFICE GOT TODAYS</t>
  </si>
  <si>
    <t>TM0102</t>
  </si>
  <si>
    <t>TRIMARK UNITED EAST</t>
  </si>
  <si>
    <t>009011001415</t>
  </si>
  <si>
    <t>GB049742</t>
  </si>
  <si>
    <t>TWISTING</t>
  </si>
  <si>
    <t>ANDREW FERREIRA: IW CLAIMS HE INJURED HIS BACK WHILE CLIMBING INTO THE BACK OF A BOX TRUCK ON 6/10 AND SOUGHT TREATMENT ON 6/11 AT</t>
  </si>
  <si>
    <t>TM1501</t>
  </si>
  <si>
    <t>TRIMARK R W SMITH-SAN DIEGO</t>
  </si>
  <si>
    <t>009011001411</t>
  </si>
  <si>
    <t>GB049463</t>
  </si>
  <si>
    <t>MO</t>
  </si>
  <si>
    <t>RYAN ASHLEY: EE WAS SEATED IN TRAINING ROOM AND SPEAKING WITH THE TRAINER WHEN HE APPEARED TO START HAVING A SEIZURE, WHICH</t>
  </si>
  <si>
    <t>ST0101</t>
  </si>
  <si>
    <t>SESC - ISI COMMERCIAL HQ</t>
  </si>
  <si>
    <t>009011001409</t>
  </si>
  <si>
    <t>GB048821</t>
  </si>
  <si>
    <t>Internal - Lower extremities</t>
  </si>
  <si>
    <t>FALL/ SLIP OR TRIP/ NOC</t>
  </si>
  <si>
    <t>PARKED NEXT TO WALL IN LOADING AREA  WENT TO GET OUT OF VAN &amp; MY  FOOT CAUGHT ON FLOOR OF VAN (WHEEL HUMP)</t>
  </si>
  <si>
    <t>TM0201</t>
  </si>
  <si>
    <t>TRIMARK USA</t>
  </si>
  <si>
    <t>009011001421</t>
  </si>
  <si>
    <t>GB050475</t>
  </si>
  <si>
    <t>Contusion</t>
  </si>
  <si>
    <t>I WAS CARRING 3 PAILS IN MY HAND. RUCK WHEN I WAS OPEN THE BACK   DOOR WITH MY HAND AND THE OTHER HAND KEEPING THE HAND TRUCK. ONE  PAIL FALL ON MY LEFT FOOT.</t>
  </si>
  <si>
    <t>009011001410</t>
  </si>
  <si>
    <t>GB049344</t>
  </si>
  <si>
    <t>I WAS LIFTING SOME 5 GALLON PAIL CHEMICAL AND 4 + 4 GAL CHEMICAL  AND I FELT A PULL  BUTCONTINUED TO WORK THROUGH THE WEEK LIFT AND PULLING GOODS  ON THURSDAY IT GOT BAD AND I INDICATED TO MY       SUPERVISOR THAT I NEED SOME HELP ON FRIDAY  AFTER TH</t>
  </si>
  <si>
    <t>ST0203</t>
  </si>
  <si>
    <t>ISI COMM REFRIG-AUSTIN</t>
  </si>
  <si>
    <t>009011001408</t>
  </si>
  <si>
    <t>GB048236</t>
  </si>
  <si>
    <t>CUT/ PUNCTURE/ SCRAPE/ NOC</t>
  </si>
  <si>
    <t>I WAS REMOVING THE OLD BOOST HEATER OF A CMA DISH MACHINE TO MAKE WAY FOR THE NEWEQUIPMENT. I WAS TRYING TO LOOSEN THE LUG NUT THAT WAS HOLDING THE ELECTRICAL WIRE IN PLACE WITHAN ALLEN WRENCH. I   HAD TO APPLY SIGNIFICANT FORCE TO GET THE NUT LOOSE.</t>
  </si>
  <si>
    <t>TM1503</t>
  </si>
  <si>
    <t>TRIMARK R W SMITH-CARROLLTON</t>
  </si>
  <si>
    <t>009011001412</t>
  </si>
  <si>
    <t>GB049462</t>
  </si>
  <si>
    <t>I WAS WORKING IN MY OFFICE  EARLY IN THE MORNING AS I ALWAYS DO   GATHERING CATALOGS AND PAPERWORK FOR MY MEETINGS LATER THAT DAY   AND I STOOD UP FROM MY DESK AND WAS OVERWHELMED WITH DIZZINESS ANDFELL FACE FIRST ONTO MY OFFICE FLOOR. I WAS UNABLE T</t>
  </si>
  <si>
    <t>009011001423</t>
  </si>
  <si>
    <t>GB050476</t>
  </si>
  <si>
    <t>STATIONARY OBJECT</t>
  </si>
  <si>
    <t>ATTEMPTING TO PICK PRODUCT ENTERED PICK BOY  (ILLEGIBLE) EXITING  BOY HIT ON BODY. HEAD CONTUSION</t>
  </si>
  <si>
    <t>TM0101</t>
  </si>
  <si>
    <t>009011001405</t>
  </si>
  <si>
    <t>GB047735</t>
  </si>
  <si>
    <t>FOREIGN BODY IN EYE</t>
  </si>
  <si>
    <t>Foreign body</t>
  </si>
  <si>
    <t>TIM IS COMPLAINING ABOUT AN IRRITATED EYE DUE TO CEMENT DUST IN   HIS LEFT EYE. HIS FIRST COMPLAINT WAS ON MONDAY THE 25TH  CAME IN ON WEDNESDAY THE 27TH WANTING TO FILL OUT A REPORT</t>
  </si>
  <si>
    <t>TM0702</t>
  </si>
  <si>
    <t>TRIMARK MARLINN</t>
  </si>
  <si>
    <t>009011001406</t>
  </si>
  <si>
    <t>GB047903</t>
  </si>
  <si>
    <t>I WAS LOOKING FOR A CATALOG TO SHIP FOR A SALES REP.I HAD TO LOWERMY HEAD AND CREEP UNDER THE SHELF ON THE FLOOR LEVEL.AS I WAS     BACKING UP  I HIT MY HEAD.RIGHT AFTER IT HAPPENED THE SHIPPING    CLERK NIMENE WUREH WALKED OUT OF THE DOOR INTO THE W</t>
  </si>
  <si>
    <t>009011001402</t>
  </si>
  <si>
    <t>GB046432</t>
  </si>
  <si>
    <t>ON ICE OR SNOW</t>
  </si>
  <si>
    <t>Inflammation</t>
  </si>
  <si>
    <t>IT WAS RAINING OUT SO JOHN WAS RUNNING TO HIS CAR ON THE GRASS/MUD NOT THE WALKWAY AND SLIPPED AND STRAINED HIS ANKLE. THE GRASS</t>
  </si>
  <si>
    <t>TM1502</t>
  </si>
  <si>
    <t>009011001399</t>
  </si>
  <si>
    <t>GB045847</t>
  </si>
  <si>
    <t>OBJECT BEING LIFTED OR HANDLED</t>
  </si>
  <si>
    <t>I WAS TAPING UP A BOX WITH MY RIGHT HAND WHILE I HELD THE BOX     CLOSED WITH MY LEFT HAND  AS I GOT CLOSER TO THE MIDDLE  I REMOVEDMY HAND BUT I WAS HOLDING THE TAPE GUN TOO CLOSE TO IT AND THAT'S WHEN I FELT THE BLADE HIT MY FINGER. LEFT INDEX FING</t>
  </si>
  <si>
    <t>LISA TAYLOR</t>
  </si>
  <si>
    <t>TM0701</t>
  </si>
  <si>
    <t>009011001396</t>
  </si>
  <si>
    <t>GB044793</t>
  </si>
  <si>
    <t>COLLIDE/SIDESWIPE ANOTHER VHCL</t>
  </si>
  <si>
    <t>WHILE TRYING TO TURN WITH CURVE OF THE ROAD MY CAR SLIPPED AND    SLAMMED INTO THE CURB  JUST MISSING 3 OTHER CARDS THAT HAD CRASHEDAHEAD OF ME.</t>
  </si>
  <si>
    <t>009011001398</t>
  </si>
  <si>
    <t>GB045846</t>
  </si>
  <si>
    <t>Internal - Trunk</t>
  </si>
  <si>
    <t>OTHER - MISCELLANEOUS, NOC</t>
  </si>
  <si>
    <t>I STARTED FEELING PAIN AND DISCOMFORT AROUND THE 14TH OF FEB. I KEPT WORKING THROUGH IT BECAUSE I THOUGHT IT WOULD GO AWAY. ON</t>
  </si>
  <si>
    <t>009011001413</t>
  </si>
  <si>
    <t>GB049345</t>
  </si>
  <si>
    <t>Multiple physical injuries onl</t>
  </si>
  <si>
    <t>ROPE PULLED AND SNAP.</t>
  </si>
  <si>
    <t>TM1901</t>
  </si>
  <si>
    <t>TRIMARK CHEFS' TOYS</t>
  </si>
  <si>
    <t>009011001425</t>
  </si>
  <si>
    <t>GB051147</t>
  </si>
  <si>
    <t>ADJ16154429 MDR-ADJ 06/01/2021 - 02/18/2022 (ALLEGED ARM/ELBOW)</t>
  </si>
  <si>
    <t>009011001400</t>
  </si>
  <si>
    <t>GB046429</t>
  </si>
  <si>
    <t>EE STATES ON 2/17/22 SHE WAS LIFTING CHAIRS ONTO THE DESKS IN PREPARATION FOR CARPET CLEANING AT MARLINN (BEDFORD PARK) WHEN SHE</t>
  </si>
  <si>
    <t>ST0310</t>
  </si>
  <si>
    <t>009011001404</t>
  </si>
  <si>
    <t>GB046431</t>
  </si>
  <si>
    <t>FROM DIFFERENT LEVEL-ELEVATION</t>
  </si>
  <si>
    <t>I WAS PREPARING TO LOAD PICK UP WITH SEVERAL PALLETS. I LOWERED   LIFTGATE BUT DIDN'T EXTEND IT SO AS NOT TO INTERFERE WITH         FORKLIFT. AFTER CLEANING OUT BED I STEPPED OUT OF THE BED AND ONTOTHE TOP OF THE LIFT GATE. IT FOLDED OUT  THROWING ME</t>
  </si>
  <si>
    <t>TRIMARK CHEFS  TOYS</t>
  </si>
  <si>
    <t>009011001428WC01</t>
  </si>
  <si>
    <t>Opened</t>
  </si>
  <si>
    <t>External - Trunk</t>
  </si>
  <si>
    <t>All other cumulative injuries</t>
  </si>
  <si>
    <t>DURING THE COURSE OF EMPLOYEE APPLICANT SUFFERED A CONTINOUS TRAUMA INJURY AFFECTING HIS UPPER AND LOWER BACK, SHOULDER, NECK,</t>
  </si>
  <si>
    <t>009011001387</t>
  </si>
  <si>
    <t>GB044240</t>
  </si>
  <si>
    <t>SOANE FETUU BROUGHT TO MY ATTENTION THAT HE WANTED TO GO HOME     CAUSE OF HAVING LOWER BACK PAIN  I ASKED HIM IF THIS STARTED TODAYAND HIS STATEMENT WAS THAT HE WAS HAVING DISCOMFORT PRIOR TO BUT  AFTER BENDING TO LIFT BOXES HE FELT A SCRATCH ON HIS</t>
  </si>
  <si>
    <t>009011001395</t>
  </si>
  <si>
    <t>GB044675</t>
  </si>
  <si>
    <t>IW WAS PREVIOUSLY BEING TREATED FOR A LOWER BACK INJURY CLAIM IN  11/16/2021  WHEN THE IW REPORTED THE INCIDENT HE REFERENCED AN    AGGRAVATION OF THE PREVIOUS INJURY UNDER 009011 001384 WC 01</t>
  </si>
  <si>
    <t>ST0201</t>
  </si>
  <si>
    <t>ISI COMM REFRIG-HOUSTON</t>
  </si>
  <si>
    <t>009011001386</t>
  </si>
  <si>
    <t>GB043408</t>
  </si>
  <si>
    <t>MOVING A MACHINE OFF OF PALLET MACHINE FALLING OVER AND SMASH MY HAND IN BETWEEN THE MACHINE AND THE BAR TOP. RIGHT HAND CRUSH</t>
  </si>
  <si>
    <t>009011001383</t>
  </si>
  <si>
    <t>GB041828</t>
  </si>
  <si>
    <t>HAND TOOL OR MACHINE IN USE</t>
  </si>
  <si>
    <t>I WAS CHECKING THE PURGE VALVE AND DRAIN WHEN MY MIDDLE FINGER WAS CAUGHT BY FAN BLADE. RIGHT MIDDLE FINGER LACERATION</t>
  </si>
  <si>
    <t>009011001382</t>
  </si>
  <si>
    <t>GB041733</t>
  </si>
  <si>
    <t>Fracture</t>
  </si>
  <si>
    <t>EMPLOYEE TURNED THROTTLE HANDLE WRONG WAY AND PINCHED IT BETWEEN A RACK &amp; THE PALLET JACK.</t>
  </si>
  <si>
    <t>09011001389WC01</t>
  </si>
  <si>
    <t>GB044118</t>
  </si>
  <si>
    <t>I STUMBLED AS I WAS WALKING UP THE STAIRS WITH MY HANDS FULL AND HIT MY ELBOW/ARM IN THE METAL RAILING. LEFT ELBOW CONTUSION</t>
  </si>
  <si>
    <t>009011001403</t>
  </si>
  <si>
    <t>GB046430</t>
  </si>
  <si>
    <t>Concussion</t>
  </si>
  <si>
    <t>ALLEGING HEAD AND RIB INJURY FROM WORK.</t>
  </si>
  <si>
    <t>TM1904</t>
  </si>
  <si>
    <t>009011001385</t>
  </si>
  <si>
    <t>GB042461</t>
  </si>
  <si>
    <t>FROM LADDER OR SCAFFOLDING</t>
  </si>
  <si>
    <t>PULLING GLASSWARE OFF SHELF AND TRIPPED OFF THE LADDER  FALLING TOTHE GROUND.</t>
  </si>
  <si>
    <t>TM1915</t>
  </si>
  <si>
    <t>CHEFS TOYS OAKLAND</t>
  </si>
  <si>
    <t>009011001381</t>
  </si>
  <si>
    <t>GB041269</t>
  </si>
  <si>
    <t>PUSHING 2-DOOR REFRIGERATOR INSIDE HALLWAY ON A DOWNSLOPE. THE    SPACE IS TIGHT  THE UNIT ROLLED DOWN AND PINNED LEFT HAND BETWEEN UNIT AND THE WALL.</t>
  </si>
  <si>
    <t>009011001380</t>
  </si>
  <si>
    <t>GB041174</t>
  </si>
  <si>
    <t>FOOT SLIPPED  BILL FELL AND HIS RIBS ON THE LEFT SIDE HIT THE EDGEOF THE ROOF HATCH OPENING - LEFT RIBS CONTUSION</t>
  </si>
  <si>
    <t>009011001379</t>
  </si>
  <si>
    <t>GB041173</t>
  </si>
  <si>
    <t>ROPE THAT WAS HANGING FROM THE TRUCK GOT CAUGHT AND TANGLED ON THE FORKLIFT. HE PULLED THE ROPE HARD TO GET IT LOOSE AND IT SNAPPED</t>
  </si>
  <si>
    <t>009011001384</t>
  </si>
  <si>
    <t>GB041829</t>
  </si>
  <si>
    <t>PUSHING OR PULLING</t>
  </si>
  <si>
    <t>ON ROOFTOP PULLING UP A BOTTLE OF FREON WITH A ROPE AND FELT A RIPPING SENSATION IN LOWER BACK.</t>
  </si>
  <si>
    <t>009011001388</t>
  </si>
  <si>
    <t>GB043852</t>
  </si>
  <si>
    <t>STRAINED RIGHT SHOULDER AFTER LIFTING LARGE TABLE WITH COWORKER</t>
  </si>
  <si>
    <t>ST0304</t>
  </si>
  <si>
    <t>STRATEGIC EQUIP LLC-ALBANY</t>
  </si>
  <si>
    <t>009011001378</t>
  </si>
  <si>
    <t>GB040589</t>
  </si>
  <si>
    <t>SLIP/TRIP/FALL</t>
  </si>
  <si>
    <t>009011001377</t>
  </si>
  <si>
    <t>GB040588</t>
  </si>
  <si>
    <t>EMPLOYEE HIT ELBOW ON HANDTRUCK - RIGHT ELBOW CONTUSION</t>
  </si>
  <si>
    <t>TM1711</t>
  </si>
  <si>
    <t>TRIMARK HOCKENBERGS</t>
  </si>
  <si>
    <t>009011001375</t>
  </si>
  <si>
    <t>GB040086</t>
  </si>
  <si>
    <t>EMPLOYEE WAS WORKING WITH RON HEADLEY  WAREHOUSE LEAD.  THEY      NEEDED                                                                TO CHECK THE BOTTOM OF A LARGE BOX FOR A SHIPPING LABEL.      BRIAN BEGAN TO</t>
  </si>
  <si>
    <t>ST0308</t>
  </si>
  <si>
    <t>09011001374WC01</t>
  </si>
  <si>
    <t>GB040083</t>
  </si>
  <si>
    <t>WHILE PERFORMING REPAIR FELT PAIN IN RIGHTSHOULDER WITH LOSS OFSTRENGTH</t>
  </si>
  <si>
    <t>009011001376</t>
  </si>
  <si>
    <t>GB040085</t>
  </si>
  <si>
    <t>EE WAS MOVING A WORKTABLE OFF A CART IN THE WAREHOUSE AND FELT A  SHARP PAIN UNDER HER LEFT ARM - LEFT ARM STRAIN</t>
  </si>
  <si>
    <t>009011001372</t>
  </si>
  <si>
    <t>GB040084</t>
  </si>
  <si>
    <t>FROM LIQUID OR GREASE SPILLS</t>
  </si>
  <si>
    <t>EE SLIPPED ON WET FLOOR INJURED WRIS54</t>
  </si>
  <si>
    <t>TM1707</t>
  </si>
  <si>
    <t>TRIMARK HOCKENSBURG</t>
  </si>
  <si>
    <t>009011001371</t>
  </si>
  <si>
    <t>GB039481</t>
  </si>
  <si>
    <t>CLMT WAS ON A JOB SITE AND HE NEEDED TO PUT CASTERS ON A FRIDGE   AND WAS LIFTING THE FRIDGE WHEN HE FELT PAIN IN HIS KNEE.</t>
  </si>
  <si>
    <t>CO</t>
  </si>
  <si>
    <t>09011001392WC01</t>
  </si>
  <si>
    <t>GB044469</t>
  </si>
  <si>
    <t>WHILE CHANGING A 5 GALLON WATER BOTTLE HE INJURED HIS BACK LEFT SHOULDER AND RIGHT ELBOW</t>
  </si>
  <si>
    <t>009011001369</t>
  </si>
  <si>
    <t>GB039479</t>
  </si>
  <si>
    <t>EMPLOYEE STEPPED DOWN ON HIS LEFT HELL AND FELT A POP. LEFT ANKLE STRAIN</t>
  </si>
  <si>
    <t>009011001370</t>
  </si>
  <si>
    <t>GB039480</t>
  </si>
  <si>
    <t>USING TOOL OR MACHINERY</t>
  </si>
  <si>
    <t>I WAS ON THE FLOOR WORKING ON A LVO POTWASHER AND WHEN I WENT TO  GET UP I APPLIED PRESSURE ON MY FINGERS AND FELT A SHARP PAIN AND SNAP IN KNUCKLES. RIGHT WRIST AND HAND SPRAIN</t>
  </si>
  <si>
    <t>009011001366</t>
  </si>
  <si>
    <t>GB039238</t>
  </si>
  <si>
    <t>MOTOR VEHICLE</t>
  </si>
  <si>
    <t>EE WAS GOING TOO FAST BEFORE APPLYING HIS BRAKES AND BY THE TIME HE TRIED TO STOP, HE CRASHED INTO ANOTHER ELECTRIC PALLET JACK</t>
  </si>
  <si>
    <t>009011001367</t>
  </si>
  <si>
    <t>GB039477</t>
  </si>
  <si>
    <t>WHEN STANDING A REFRIGERATOR UP TO MOVE INTO PLACE  EE FELT A POP IN RIGHT SHOULDER</t>
  </si>
  <si>
    <t>009011001368</t>
  </si>
  <si>
    <t>GB039478</t>
  </si>
  <si>
    <t>LIFTED A COUNTERTOP AT A CUSTOMER SITE TO SET IN PLACE AND        IMMEDIATELY FELT INJURY. LOW BACK STRAIN</t>
  </si>
  <si>
    <t>009011001365</t>
  </si>
  <si>
    <t>GB039237</t>
  </si>
  <si>
    <t>Vision Loss</t>
  </si>
  <si>
    <t>EE LIFTED A BOX OF PRINTER PAPER AND PLACED IT ON A CART TO BE WHEELED TO PRINTER. A FEW HOURS LATER, FELT A POP SENSATION ON</t>
  </si>
  <si>
    <t>TM1704</t>
  </si>
  <si>
    <t>009011001362</t>
  </si>
  <si>
    <t>GB039476</t>
  </si>
  <si>
    <t>OPERATING AN ORDER PICKER.</t>
  </si>
  <si>
    <t>TM1907</t>
  </si>
  <si>
    <t>009011001360</t>
  </si>
  <si>
    <t>GB039474</t>
  </si>
  <si>
    <t>MOVED A BOX THAT HAD A PIZZA PEEL ON TOP THAT THE EMPLOYEE DIDN'T SEE. WHEN BOXES WERE MOVED  THE PIZZA PEEL FELL OFF THE TOP OF THEBOX AND HIT HIM IN THE HEAD.</t>
  </si>
  <si>
    <t>009011001359</t>
  </si>
  <si>
    <t>GB037858</t>
  </si>
  <si>
    <t>STRAINED KNEE STEPPING OFF OF LADDER</t>
  </si>
  <si>
    <t>009011001361</t>
  </si>
  <si>
    <t>GB039475</t>
  </si>
  <si>
    <t>PUSHING A LONG WOODEN PALLET OUT OF THE BACK OF THE BOX TRUCK AND FELT PAIN IN LOWER BACK</t>
  </si>
  <si>
    <t>009011001363</t>
  </si>
  <si>
    <t>GB039236</t>
  </si>
  <si>
    <t>CHANGING OUT 2 COMPRESSORS AT A SCHOOL ON THE ROOF AND AFTER      PLACING A NEW COMPRESSOR INTO THE CONDENSER PACKAGE  I STOOD UP   AND FELT A STING COMING FROM MY LOWER BACK</t>
  </si>
  <si>
    <t>009011001357</t>
  </si>
  <si>
    <t>GB037224</t>
  </si>
  <si>
    <t>VEHICLE COLLISION</t>
  </si>
  <si>
    <t>009011001355</t>
  </si>
  <si>
    <t>GB036834</t>
  </si>
  <si>
    <t>REACHING</t>
  </si>
  <si>
    <t>REACHED FOR BOX OVERHEAD AND RIGHT SHOULDER POPPED. *ER 8/2</t>
  </si>
  <si>
    <t>009011001354</t>
  </si>
  <si>
    <t>GB036833</t>
  </si>
  <si>
    <t>PULLING OFF THE PROTECTIVE COVERING FROM THE STAINLESS STEEL      PORTION OF A REFRIGERATION UNIT WHICH WAS ON A PALLET  SITTING ON THE LIFTGATE. AS I WAS PULLING THE PROTECTIVE PLASTIC OFF  THE    REFRIGERATOR TILTED TOWARDS ME SO I GRABBED THE TOP</t>
  </si>
  <si>
    <t>TM1710</t>
  </si>
  <si>
    <t>009011001353</t>
  </si>
  <si>
    <t>GB036832</t>
  </si>
  <si>
    <t>EMPLOYEE STATED HE TWISTED SOMETHING IN HIS BACK AND NEEDED TO GO TO THE CHIROPRACTOR.T</t>
  </si>
  <si>
    <t>09011001356WC01</t>
  </si>
  <si>
    <t>GB037105</t>
  </si>
  <si>
    <t>MOVING GRIDDLE TO A TABLE AT CUSTOMER'S REQUEST. TABLE WAS TOO HIGH.</t>
  </si>
  <si>
    <t>009011001393</t>
  </si>
  <si>
    <t>GB044737</t>
  </si>
  <si>
    <t>SUBJECT TO PROOF WHILE WORKING APPLICANT INJURED HIS NECK (200), SPINE (420) AND BACK (420).</t>
  </si>
  <si>
    <t>009011001351</t>
  </si>
  <si>
    <t>GB035724</t>
  </si>
  <si>
    <t>CUTTING PLASTIC SHIPPING STRAPS OFF OF BOX. STRAP TURNED AND BLADESLIPPED OFF CUTTING KNUCKLE OF HAND HOLDING THE BLADE. LEFT MIDDLEFINGER LACERATION</t>
  </si>
  <si>
    <t>WCNS1050Y0</t>
  </si>
  <si>
    <t>NOCLAIMS</t>
  </si>
  <si>
    <t>009011001350</t>
  </si>
  <si>
    <t>GB035658</t>
  </si>
  <si>
    <t>WAS BRINGING BOXES TO THE ROOF OF UNO'S PIZZA. LIFTED A CASE OF   MERCHANDISE AND MY BACK WENT OUT. COULD FEEL IT RIGHT AWAY.</t>
  </si>
  <si>
    <t>009011001352</t>
  </si>
  <si>
    <t>GB035818</t>
  </si>
  <si>
    <t>WHILE GETTING OFF THE FORKLIFT THE EMPLOYEE HIT HIS RIGHT KNEE    INTO A PIECE OF DISMANTLED EQUIPMENT THAT WAS ON THE DOCK.</t>
  </si>
  <si>
    <t>009011001348</t>
  </si>
  <si>
    <t>GB035656</t>
  </si>
  <si>
    <t>BRIAN SLIPPED ON SOMETHING METAL ON THE GROUND  FELL AND HIT HIS  RIBS ON THE LIFTGATE.</t>
  </si>
  <si>
    <t>009011001358</t>
  </si>
  <si>
    <t>GB037825</t>
  </si>
  <si>
    <t>INVOLVED IN A MVA IN A COMPANY VEHICLE WHILE ON DELIVERY ROUTE.</t>
  </si>
  <si>
    <t>009011001347</t>
  </si>
  <si>
    <t>GB035415</t>
  </si>
  <si>
    <t>CUTTING PLASTIC WRAP OFF A UNIT</t>
  </si>
  <si>
    <t>009011001345</t>
  </si>
  <si>
    <t>GB035171</t>
  </si>
  <si>
    <t>ERIC WAS RIDING AN ELECTRIC PALLET JACK WHEN IT STOPPED SUDDENLY  THROWING HIM OFF. HE LANDED ON HIS WRIST TRYING TO CATCH HIMSELF.</t>
  </si>
  <si>
    <t>009011001346</t>
  </si>
  <si>
    <t>GB035414</t>
  </si>
  <si>
    <t>CAUGHT IN, UNDER OR BETWEEN NO</t>
  </si>
  <si>
    <t>PINKY FINGER WAS OUTSIDE OF HANDGUARD AND CAUGHT BETWEEN THE JACK HANDLE AND THE PALLET RACKING UPRIGHT</t>
  </si>
  <si>
    <t>009011001364</t>
  </si>
  <si>
    <t>GB039473</t>
  </si>
  <si>
    <t>OTHER - MISCELLANEOUS/ NOC</t>
  </si>
  <si>
    <t>UNKNOWN-WOKE UP WITH BACK AND SHOULDER PAIN</t>
  </si>
  <si>
    <t>009011001344</t>
  </si>
  <si>
    <t>GB035170</t>
  </si>
  <si>
    <t>HOLDING OR CARRYING</t>
  </si>
  <si>
    <t>LIFTING BOX OF SHEET PANS  BECAME UNBALANCED  TRIED TO KEEP THE   BOX FROM FALLING CAUSING STRAIN IN RIGHT SHOULDER AND FOREARM.</t>
  </si>
  <si>
    <t>009011001343</t>
  </si>
  <si>
    <t>GB034573</t>
  </si>
  <si>
    <t>UNPACKING A WOODEN CRATE HELD TOGETHER BY A METAL FRAME.          EMPLOYEES' ARM CONTACTED THE METAL FRAME AND CAUSED LACERATION.</t>
  </si>
  <si>
    <t>009011001341</t>
  </si>
  <si>
    <t>GB035169</t>
  </si>
  <si>
    <t>ON STAIRS</t>
  </si>
  <si>
    <t>CLIMBING DOWN FROM THE TRUCK  STEPPED DOWN TO UNEVEN PAVEMENT AND ROLLED LEFT ANKLE.</t>
  </si>
  <si>
    <t>009011001338</t>
  </si>
  <si>
    <t>GB033872</t>
  </si>
  <si>
    <t>EMPLOYEE PICKED UP BOX  WENT TO WALK AND PUT THE BOX DOWN  FELT   PAIN IN SHOULDER.</t>
  </si>
  <si>
    <t>009011001339</t>
  </si>
  <si>
    <t>GB034336</t>
  </si>
  <si>
    <t>EE WAS TAKING A WOODEN CRATE APART AND WHILE PULLING ON A NAILED  BOARD  IT POPPED LOOSE AND HE FELL BACKWARD  STRIKING HIS HEAD ON ANOTHER PIECE OF EQUIPMENT BEHIND HIM.</t>
  </si>
  <si>
    <t>009011001336</t>
  </si>
  <si>
    <t>GB032734</t>
  </si>
  <si>
    <t>EMPLOYEE WAS STEPPING DOWN STAIRS OFF BACK OF TRUCK. FOOT SLIPPED ON STEP  CAUSING EMPLOYEE TO BUMP INTO BACK OF TRUCK.</t>
  </si>
  <si>
    <t>009011001335</t>
  </si>
  <si>
    <t>GB032733</t>
  </si>
  <si>
    <t>I WAS TRAVELING EASTBOUND ON I4 AT APP. 70 MPH WHEN I APPROACHED ADISABLED VEHICLE ON THE RIGHT SHOULDER. I MOVED FROM THE RIGHT    LANE INTO THE MIDDLE LANE AND THEN BACK TO THE RIGHT LANE AFTER   PASSING THE VEHICLE. ANOTHER VEHICLE THEN APPROACHED</t>
  </si>
  <si>
    <t>TM1714</t>
  </si>
  <si>
    <t>009011001349</t>
  </si>
  <si>
    <t>GB035657</t>
  </si>
  <si>
    <t>STEVE WAS HELPING UNLOAD A DELIVERY FROM A VENDOR.  THE LOAD WAS  NOT ON A PALLET  SO NEEDED TO BE LOADED BY HAND.  WHILE STEVE WAS GRABBING A BOX OF  TO-GO  CONTAINERS.  ONE FELL AND HIT HIS LIP   AND KNOCKED HIS GLASSES OFF</t>
  </si>
  <si>
    <t>009011001334</t>
  </si>
  <si>
    <t>GB032396</t>
  </si>
  <si>
    <t>OPENING UP BOXES FOR RESTOCK AND CUT HIS FINGER WITH BOX CUTTER   BLADE.</t>
  </si>
  <si>
    <t>009011001333</t>
  </si>
  <si>
    <t>GB031791</t>
  </si>
  <si>
    <t>HEAVY ITEM FELL ON RIGHT HAND MIDDLE FINGER</t>
  </si>
  <si>
    <t>009011001332</t>
  </si>
  <si>
    <t>GB031790</t>
  </si>
  <si>
    <t>STEPPED DOWN FROM LADDER BUT MISSED BOTTOM RUNG AND LOST BALANCE. LACERATED L HAND ON TOP FRAME OF REFRIGERATOR IN THE PROCESS.</t>
  </si>
  <si>
    <t>009011001329</t>
  </si>
  <si>
    <t>GB030676</t>
  </si>
  <si>
    <t>OPENING BOXES  SLICED FINGER WITH BOX CUTTER.</t>
  </si>
  <si>
    <t>009011001327</t>
  </si>
  <si>
    <t>GB030340</t>
  </si>
  <si>
    <t>WHILE CLEANING AND ORGANIZING THE WAREHOUSE AND SURROUNDING AREAS EMPLOYEE HIT HIS LEFT KNEE ON AN ORANGE BEAM IN THE AREA IN WHICH THEY WERE CLEANING.</t>
  </si>
  <si>
    <t>009011001328</t>
  </si>
  <si>
    <t>GB030341</t>
  </si>
  <si>
    <t>DRILL GUN STUCK IN WALL</t>
  </si>
  <si>
    <t>009011001326</t>
  </si>
  <si>
    <t>GB030211</t>
  </si>
  <si>
    <t>THE OVEN TILTED AT AN ANGLE SO HE USED HIS HAND TO CATCH IT. HIS  HAND WAS SMASHED BETWEEN THE OVEN AND UPRIGHT.</t>
  </si>
  <si>
    <t>009011001325</t>
  </si>
  <si>
    <t>GB030210</t>
  </si>
  <si>
    <t>WHILE MOVING A PALLET  HE TURNED AND TRIPPED ON CARDBOARD. TWISTEDHIS KNEE</t>
  </si>
  <si>
    <t>009011001322</t>
  </si>
  <si>
    <t>GB029016</t>
  </si>
  <si>
    <t>EMPLOYEE WAS PICKING ORDER FROM A LOCATION ON GROUND FLOOR AND    TRIPPED ON PALLET NEXT TO THE ONE SHE WAS PICKING FROM. BROKE FALLBY LANDING ON WRIST.</t>
  </si>
  <si>
    <t>009011001324</t>
  </si>
  <si>
    <t>GB029638</t>
  </si>
  <si>
    <t>WHILE TRYING TO PUT A FITTING ON A PUMP HEAD  THE FITTING WAS VERYTIGHT TO THREAD ON  CAUSING PIPE WRENCH TO SLIP CAUSING WRIST TO  SLAM INTO FLOOR</t>
  </si>
  <si>
    <t>009011001323</t>
  </si>
  <si>
    <t>GB029307</t>
  </si>
  <si>
    <t>EMPLOYEE CLAIMS HE HURT SHOULDER LIFTING BOX.</t>
  </si>
  <si>
    <t>009011001321</t>
  </si>
  <si>
    <t>GB028738</t>
  </si>
  <si>
    <t>PULLING PALLET ON PALLET JACK WHILE UNLOADING TRUCK. FELT SHARP   PAIN  CONTINUED TO WORK.</t>
  </si>
  <si>
    <t>009011001319</t>
  </si>
  <si>
    <t>GB029306</t>
  </si>
  <si>
    <t>PANDEMIC</t>
  </si>
  <si>
    <t>Covid-19</t>
  </si>
  <si>
    <t>COVID-19 POSITIVE TEST RESULT SPOUSE ALSO TESTED POSITIVE; SPOUSE ATTENDED HOUSE PARTY ON 12/12/2020</t>
  </si>
  <si>
    <t>009011001317</t>
  </si>
  <si>
    <t>GB028737</t>
  </si>
  <si>
    <t>HAND STUCK BETWEEN MATERIAL AND THE CONVEYER BELT IN THE SANDER.</t>
  </si>
  <si>
    <t>009011001318</t>
  </si>
  <si>
    <t>GB029015</t>
  </si>
  <si>
    <t>WHILE ON LIFT  LOOKING FOR SKU IN INVENTORY HIT HIS FACE ON THE   RACK.</t>
  </si>
  <si>
    <t>009011001315</t>
  </si>
  <si>
    <t>GB028735</t>
  </si>
  <si>
    <t>WAS USING THE TABLE SAW AND HIT HIS HAND</t>
  </si>
  <si>
    <t>009011001320</t>
  </si>
  <si>
    <t>GB028855</t>
  </si>
  <si>
    <t>LIFTING A MANUAL DOCK PLATE AND INJURED LOWER BACK</t>
  </si>
  <si>
    <t>009011001316</t>
  </si>
  <si>
    <t>GB028736</t>
  </si>
  <si>
    <t>LOST BALANCE AND FELL INTO SIDE OF TRUCK/WALL</t>
  </si>
  <si>
    <t>TM1801</t>
  </si>
  <si>
    <t>TRIMARK ORANGE COUNTY</t>
  </si>
  <si>
    <t>009011001312</t>
  </si>
  <si>
    <t>GB029305</t>
  </si>
  <si>
    <t>COVID POSITIVE TEST</t>
  </si>
  <si>
    <t>009011001311</t>
  </si>
  <si>
    <t>GB027310</t>
  </si>
  <si>
    <t>MARCUS WAS DRIVING SOUTHBOUND ON 294 WHEN HE WAS REAR ENDED BY A  JB HUNT TRUCK.</t>
  </si>
  <si>
    <t>009011001309</t>
  </si>
  <si>
    <t>GB027309</t>
  </si>
  <si>
    <t>ON JOB SITE  WORKING AROUND ANOTHER'S SUBS TRASH AND CUT KNEE ON APIECE OF LUMBER</t>
  </si>
  <si>
    <t>009011001313</t>
  </si>
  <si>
    <t>GB028213</t>
  </si>
  <si>
    <t>EE STATES HE WAS STACKING PIZZA OVENS AND FELT A SHARP PAIN IN LEFT ARM AND ELBOW.</t>
  </si>
  <si>
    <t>009011001307</t>
  </si>
  <si>
    <t>GB026771</t>
  </si>
  <si>
    <t>CUTTING CARDBOARD WITH UTILITY KNIFE</t>
  </si>
  <si>
    <t>009011001300</t>
  </si>
  <si>
    <t>GB026238</t>
  </si>
  <si>
    <t>WAS PULLING UPWARDS ON A HOSE INSIDE AN ICE MACHINE AND HAND HIT  THE EDGE OF A PIECE OF METAL. EE WAS WEARING RUBBER GLOVES</t>
  </si>
  <si>
    <t>009011001299</t>
  </si>
  <si>
    <t>GB026312</t>
  </si>
  <si>
    <t>STRAIN EXTRA ON THE RIGHT TO OPEN THE CONTAINER BECAUSE HE WAS    USING OLDER BOLT CUTTERS THAT WEREN'T STRONG ENOUGH.</t>
  </si>
  <si>
    <t>009011001302</t>
  </si>
  <si>
    <t>GB026239</t>
  </si>
  <si>
    <t>EE'S FINGER WAS STRUCK BY A TURNING FAN BLADE</t>
  </si>
  <si>
    <t>009011001303</t>
  </si>
  <si>
    <t>GB026768</t>
  </si>
  <si>
    <t>EMPLOYEE WAS OPENING A BOX AND THE BOX KNIFE SLIPPED</t>
  </si>
  <si>
    <t>TM1802</t>
  </si>
  <si>
    <t>009011001297</t>
  </si>
  <si>
    <t>GB025774</t>
  </si>
  <si>
    <t>SHEET METAL CUT HIS FINGERS</t>
  </si>
  <si>
    <t>009011001301</t>
  </si>
  <si>
    <t>GB026088</t>
  </si>
  <si>
    <t>EMPLOYEE WAS TRAVELING WITH ANOTHER EMPLOYEE WHO TESTED POSITIVE  FOR COVID-19 FROM 09/30/2020 - 10/02/2020  THE EMPLOYEE           (GALEN)TESTED POSITIVE ON 10/02?2020  SO RAMON TESTED POSITIVE ON 10/04/2020.  HE IS NOW WORKING FROM HOME QUARANTININ</t>
  </si>
  <si>
    <t>TM1917</t>
  </si>
  <si>
    <t>TRIMARK CHEFS TOYS</t>
  </si>
  <si>
    <t>009011001298</t>
  </si>
  <si>
    <t>GB026237</t>
  </si>
  <si>
    <t>FINGER GOT CAUGHT BETWEEN BAY AND POST WHILE MOVIGN               SHELVING/RACKING IN THE WAREHOUSE. TIP OF FINGER REMOVED.</t>
  </si>
  <si>
    <t>ST0311</t>
  </si>
  <si>
    <t>009011001296</t>
  </si>
  <si>
    <t>GB025655</t>
  </si>
  <si>
    <t>OPENING A TRAILER WHEN THE MOBILE BUN PAN ROLL                        OUT OF THE TRAILER AND FAILED ON MY HEAD.</t>
  </si>
  <si>
    <t>009011001295</t>
  </si>
  <si>
    <t>GB026112</t>
  </si>
  <si>
    <t>PUTTING KNIVES AWAY. ONE ELL OUT OF A BUBBLE WRAP AND CAUGHT THE  RIGHT MIDDLE KNUCKLE  CUTTING THE KNUCKLE.</t>
  </si>
  <si>
    <t>009011001304</t>
  </si>
  <si>
    <t>GB026769</t>
  </si>
  <si>
    <t>MOVING REFRIGERATED EQUIPMENT  CUT FINGER</t>
  </si>
  <si>
    <t>TM0401</t>
  </si>
  <si>
    <t>TRIMARK ECONOMY-SAN FRANCISCO</t>
  </si>
  <si>
    <t>009011001294</t>
  </si>
  <si>
    <t>GB025168</t>
  </si>
  <si>
    <t>JAMIE TRIPPED  SHE FELL ON THE GROUND AND THE CHOPSTICK PUNCTURED HER LEFT CHEEK.</t>
  </si>
  <si>
    <t>TM1505</t>
  </si>
  <si>
    <t>TRIMARK R W SMITH</t>
  </si>
  <si>
    <t>009011001293</t>
  </si>
  <si>
    <t>GB025374</t>
  </si>
  <si>
    <t>ALFRED WENT TO UNLOCK A HIGH LIFT DOLLY. HIS HAND SLIPPED AND HIS HEAD RAN INTO THE DOLLY.</t>
  </si>
  <si>
    <t>009011001290</t>
  </si>
  <si>
    <t>GB024174</t>
  </si>
  <si>
    <t>EMPLOYEE WAS CRAWLING ON TOP OF A COOLER AS ANOTHER EMPLOYEE WAS  DRILLING A SMALL HOLE FROM THE INSIDE THROUGH THE ROOF &amp; CAUSING  LACERATION TO INJURED EMPLOYEE.</t>
  </si>
  <si>
    <t>009011001292</t>
  </si>
  <si>
    <t>GB024545</t>
  </si>
  <si>
    <t>EMPLOYEE STEPPED ON A PALLET AND IT BROKE</t>
  </si>
  <si>
    <t>009011001314</t>
  </si>
  <si>
    <t>GB028470</t>
  </si>
  <si>
    <t>EMPLOYEE PULLED A DOLLY OF BOXES  TO HIS CAR AND FELT A TWIST AND PULL IN HIS SHOULDER AND WRIST.</t>
  </si>
  <si>
    <t>TM1202</t>
  </si>
  <si>
    <t>TRIMARK SS KEMP</t>
  </si>
  <si>
    <t>009011001288</t>
  </si>
  <si>
    <t>GB023817</t>
  </si>
  <si>
    <t>CAUGHT IN/ UNDER OR BETWEEN NO</t>
  </si>
  <si>
    <t>THE EE'S LEFT HAND GOT CAUGHT ON THE LIFT GATE OF THE TRUCK WHILE HE WAS OPENING IT. THE EE SUSTAINED A LACERATION AND FRACTURE TO  HIS LEFT THUMB.</t>
  </si>
  <si>
    <t>PA</t>
  </si>
  <si>
    <t>09011001289WC01</t>
  </si>
  <si>
    <t>GB023640</t>
  </si>
  <si>
    <t>CLEANING STOCK ROOM AND FELT PULL IN BACK</t>
  </si>
  <si>
    <t>TM1903</t>
  </si>
  <si>
    <t>009011001287</t>
  </si>
  <si>
    <t>GB024055</t>
  </si>
  <si>
    <t>BOX CUTTER SLIPPED OFF BAND HE WAS CUTTING AND HIT HIS LEFT INDEX FINGER</t>
  </si>
  <si>
    <t>009011001286</t>
  </si>
  <si>
    <t>GB024236</t>
  </si>
  <si>
    <t>POSSIBLE BACK INJURY</t>
  </si>
  <si>
    <t>009011001305</t>
  </si>
  <si>
    <t>GB026770</t>
  </si>
  <si>
    <t>UNKNOWN HOW INJURY/ OCCURRED.</t>
  </si>
  <si>
    <t>009011001306</t>
  </si>
  <si>
    <t>GB026558</t>
  </si>
  <si>
    <t>UNKNOWN HOW INJURY/ OCCURRED</t>
  </si>
  <si>
    <t>009011001285</t>
  </si>
  <si>
    <t>GB023562</t>
  </si>
  <si>
    <t>THE EE CLAIMS HE HAD DIFFICULTY MOVING HIS LEFT ARM AND SHOULDER. THE EE WAS DIAGNOSED WITH A TORN BICEP AS A RESULT. THE EE CLAIMS IT MAY HAVE HAPPENED WHILE LIFTING OBJECTS AT THE JOBSITE.</t>
  </si>
  <si>
    <t>009011001282</t>
  </si>
  <si>
    <t>GB023296</t>
  </si>
  <si>
    <t>EMPLOYEE PICKED UP AN EMPTY PALLET TO STACK IN THE BACK OF HIS    TRUCK.</t>
  </si>
  <si>
    <t>009011001284</t>
  </si>
  <si>
    <t>GB023816</t>
  </si>
  <si>
    <t>WHILE UNLOADING PIECE OF EQUIPMENT SMASHED FINGER</t>
  </si>
  <si>
    <t>009011001283</t>
  </si>
  <si>
    <t>GB023815</t>
  </si>
  <si>
    <t>USING A SANDING DISK WHEN IT KICKED BACK AND RAN ACROSS BACK OF   LEFT HAND</t>
  </si>
  <si>
    <t>009011001291</t>
  </si>
  <si>
    <t>GB024735</t>
  </si>
  <si>
    <t>THE EE TWEET HIS LOWER BACK WHILE MOVING FILE CABINETS AND CUBICLEPARTITION WALL IN THE BUILDING. THE EE IS EXPERIENCING LOWER BACK PAIN.</t>
  </si>
  <si>
    <t>009011001280</t>
  </si>
  <si>
    <t>GB022983</t>
  </si>
  <si>
    <t>MVA-EE WAS HIT BY ANOTHER DRIVER.</t>
  </si>
  <si>
    <t>009011001281</t>
  </si>
  <si>
    <t>GB023228</t>
  </si>
  <si>
    <t>EMPLOYEE LOST GRIP ON CONDENSER AND FELT SHARP PAIN IN LEFT WRIST AND THUMB</t>
  </si>
  <si>
    <t>009011001279</t>
  </si>
  <si>
    <t>GB023183</t>
  </si>
  <si>
    <t>I WAS CUTTING A LEG OFF A BAR UNIT. AS I WAS GETTING TO THE END OFTHE CUT  THE LEG PINCHED THE GRINDER WHEEL CAUSING IT TO KICK BACKIT SWUNG AROUND  RIPPED MY SHIRT THEN SLICED THROUGH MY FOREARM   WHILE STILL RUNNING.</t>
  </si>
  <si>
    <t>009011001277</t>
  </si>
  <si>
    <t>GB022581</t>
  </si>
  <si>
    <t>EMPLOYEE WAS PICKING UP A COUNTER AND HURT SHOULDER                   FLIPPING IT ON SIDE TO GET IN THE BUILDING</t>
  </si>
  <si>
    <t>009011001276</t>
  </si>
  <si>
    <t>GB023227</t>
  </si>
  <si>
    <t>EMPLOYEE TRIED TO FIT PALLET JACK BETWEEN 2 PALLETS &amp; CUT IT TOO  CLOSE  BRUISING LEFT FOOT.</t>
  </si>
  <si>
    <t>009011001274</t>
  </si>
  <si>
    <t>GB022073</t>
  </si>
  <si>
    <t>TURNING TO GRAB ANOTHER BOX</t>
  </si>
  <si>
    <t>009011001308</t>
  </si>
  <si>
    <t>GB026767</t>
  </si>
  <si>
    <t>EMPLOYEE WAS TRYING TO RETRIEVE COIN BOX FROM BEHIND DESK.        EXPERIENCED PAIN WHEN HE LIFTED BOX. INDICATES BOX WAS 180LBS</t>
  </si>
  <si>
    <t>009011001267</t>
  </si>
  <si>
    <t>GB020884</t>
  </si>
  <si>
    <t>UNKNOWN.  EMPLOYEE STATES THAT A FEW WEEKS AGO HE FELT A  TWINGE  WHILE WORKING.  NEVER REPORTED UNTIL 3/26.</t>
  </si>
  <si>
    <t>09011001273WC01</t>
  </si>
  <si>
    <t>GB021812</t>
  </si>
  <si>
    <t>APPLICANT SUSTAINED CUMULATIVE TRAUMA TO HIS KNEES, BOTH SHOULDERS, RIGHT ARM, HIPS, UPPER AND LOWER BACK AS A RESULT OF</t>
  </si>
  <si>
    <t>009011001266</t>
  </si>
  <si>
    <t>GB020720</t>
  </si>
  <si>
    <t>WHEN TAKING THE DEPOSIT TO THE BANK  CAROL WAS REAR ENDED BY      ANOTHER CAR.  CORNER OF ELM CREEK PARKWAY AND GROVE DR. IN MAPLE  GROVE MN</t>
  </si>
  <si>
    <t>ST0305</t>
  </si>
  <si>
    <t>009011001265</t>
  </si>
  <si>
    <t>GB020824</t>
  </si>
  <si>
    <t>FALL FROM DIFFERENT LEVEL</t>
  </si>
  <si>
    <t>009011001268</t>
  </si>
  <si>
    <t>GB021044</t>
  </si>
  <si>
    <t>MOVING EQUIPMENT  SLIPPED  LANDED ON RIGHT KNEE</t>
  </si>
  <si>
    <t>TM1909</t>
  </si>
  <si>
    <t>009011001264</t>
  </si>
  <si>
    <t>GB020459</t>
  </si>
  <si>
    <t>LIFTING MIXER WITH THE HELP OF TWO OTHERS. FOOT SLID ON UNEVEN    GRAVEL/PAVEMENT.</t>
  </si>
  <si>
    <t>TM0402</t>
  </si>
  <si>
    <t>TRIMARK ECONOMY-SACRAMENTO</t>
  </si>
  <si>
    <t>009011001260</t>
  </si>
  <si>
    <t>GB020086</t>
  </si>
  <si>
    <t>THE REFRIGERATOR BEGAN TO TILT SO ALEXIS WRAPPED HIMSELF AROUND ITTO PREVENT IT FROM FALLING. HE AND THE REFRIGERATOR FELL TO THE   GROUND.</t>
  </si>
  <si>
    <t>009011001261</t>
  </si>
  <si>
    <t>GB020389</t>
  </si>
  <si>
    <t>EE STATES HE WAS LAYING ON GROUND WORKING ON EQUIPMENT AND FELT A POP IN HIS LOWER BACK/SI JOINT AREA AND FELT PAIN</t>
  </si>
  <si>
    <t>009011001258</t>
  </si>
  <si>
    <t>GB020458</t>
  </si>
  <si>
    <t>EMPLOYEE WAS TRYING TO SAVE A PIECE OF EQUIPMENT FRO                  FALLING AND ROLLED ANKLE WHEN FOOT CAME OFF THE SIDEWALK</t>
  </si>
  <si>
    <t>009011001252</t>
  </si>
  <si>
    <t>GB019788</t>
  </si>
  <si>
    <t>WALKED INTO A ROTATING GLASS DOOR</t>
  </si>
  <si>
    <t>009011001251</t>
  </si>
  <si>
    <t>GB020669</t>
  </si>
  <si>
    <t>MVA-T-BONED AT 4-WAY INTERSECTION-OTHER DRIVER RAN STOP SIGN</t>
  </si>
  <si>
    <t>009011001255</t>
  </si>
  <si>
    <t>GB020670</t>
  </si>
  <si>
    <t>THE EE WAS ATTEMPTING TO MOVE A REFRIGERATOR WHEN IT FELL AND LANDED ON HER LEFT ARM. THE EE SUSTAINED INJURIES.</t>
  </si>
  <si>
    <t>009011001259</t>
  </si>
  <si>
    <t>GB020390</t>
  </si>
  <si>
    <t>THE PIECES OF METAL ON THE PALLET BEGAN TO FALL AND JOSE TRIED TO GRAB IT. THE METAL CUT HIS LEFT INDEX FINGER.</t>
  </si>
  <si>
    <t>009011001249</t>
  </si>
  <si>
    <t>GB019212</t>
  </si>
  <si>
    <t>LACERATION OF THUMB</t>
  </si>
  <si>
    <t>009011001245</t>
  </si>
  <si>
    <t>GB018661</t>
  </si>
  <si>
    <t>CUTTING LAMINATE</t>
  </si>
  <si>
    <t>009011001254</t>
  </si>
  <si>
    <t>GB020855</t>
  </si>
  <si>
    <t>I WAS DRIVING NORTH ON I65 IN THE RIGHT LANE. THE OTHER DRIVER    LOST CONTROL IN THE FAR LEFT LANE AND SLID IN FRONT OF ME. I TRY  TO STOP AND SWERVE BUT DID NOT MISS HER.</t>
  </si>
  <si>
    <t>009011001244</t>
  </si>
  <si>
    <t>GB018283</t>
  </si>
  <si>
    <t>EMPLOYEE WAS STAPLING SHEET OF PLYWOOD TO CRATE  AND THE GUN      SLIPPED ON THE SMOOTH SURFACE MISSED BOARD AND HIT FINGER.</t>
  </si>
  <si>
    <t>009011001253</t>
  </si>
  <si>
    <t>GB019789</t>
  </si>
  <si>
    <t>WHILE TRYING TO LOOSEN A NIPPLE FOR PIPE, WRENCH SLIPPED FROM NIPPLE AND I RAN THE SIDE OF MY HAND INTO STAINLESS STEEL EDGING.</t>
  </si>
  <si>
    <t>009011001247</t>
  </si>
  <si>
    <t>GB018542</t>
  </si>
  <si>
    <t>WHILE STANDING ON A LADDER  BEGAN TO SLIP  REACHED TO A PALLET TO STEADY HIMSELF AND CUT HAND ON A NAIL</t>
  </si>
  <si>
    <t>009011001246</t>
  </si>
  <si>
    <t>GB020976</t>
  </si>
  <si>
    <t>SLIPPED ON ICE HURT RIGHT KNEE</t>
  </si>
  <si>
    <t>009011001243</t>
  </si>
  <si>
    <t>GB018213</t>
  </si>
  <si>
    <t>PULLING HAND TRUCK UP THE STAIRS.  HANDTRUCK GOT CAUGHT IN THE    STAIRWAY  CAUSING HIM TO PULL HIS MUSCLE IN THE NECK AND SHOULDER.</t>
  </si>
  <si>
    <t>009011001241</t>
  </si>
  <si>
    <t>GB017669</t>
  </si>
  <si>
    <t>STRAIN OR INJURY BY/ NOC</t>
  </si>
  <si>
    <t>WEIGHT OF THE SCARP CAUSED HIM TO USE MORE FORCE  CAUSING HIS BACKTO START TO HURT .</t>
  </si>
  <si>
    <t>009011001242</t>
  </si>
  <si>
    <t>GB018430</t>
  </si>
  <si>
    <t>THE EMPLOYEE WAS SPRAYING A CLEANER ON PIECE OF STEEL                 THAT SPLASHED BACK IN EYE53</t>
  </si>
  <si>
    <t>009011001238</t>
  </si>
  <si>
    <t>GB018427</t>
  </si>
  <si>
    <t>COREY CLAIMS HE WAS LIFTING A BOX AND HEARD A POP FROM HIS BACK.  COREY CLAIMS HE THEN STARTED EXPERIENCING PAIN IN HIS BACK.</t>
  </si>
  <si>
    <t>009011001239</t>
  </si>
  <si>
    <t>GB018426</t>
  </si>
  <si>
    <t>MORDECAI LOST HIS GRIP ON ONE OF THE BOXES. IT CAME DOWN ON HIS   LEFT MIDDLE FINGER</t>
  </si>
  <si>
    <t>009011001237</t>
  </si>
  <si>
    <t>GB017228</t>
  </si>
  <si>
    <t>DERRICK WAS WALKING TOWARD DOCK MAN DOOR  SLIPPED AND FELL  LANDEDON RIGHT ELBOW2E</t>
  </si>
  <si>
    <t>009011001233</t>
  </si>
  <si>
    <t>GB016757</t>
  </si>
  <si>
    <t>WHILE WORKING THE FRONT DESK  EE MOVED TO THROW SOMETHING AWAY    THE ROLLING CHAIR FLIPPED UNDERNEATH HER AND LEFT BUTTOCK LANDED  ON THE LEG OF THE CHAIR.</t>
  </si>
  <si>
    <t>009011001235</t>
  </si>
  <si>
    <t>GB017043</t>
  </si>
  <si>
    <t>SERGIO AND HIS PARTNER WERE LIFTING AND MOVING THE SINK WHEN      SOMETHING SNAPPED IN HIS LEFT FOREARM.</t>
  </si>
  <si>
    <t>009011001240</t>
  </si>
  <si>
    <t>GB018428</t>
  </si>
  <si>
    <t>ALEX WAS STACKING BOXES OF TIDE AND FELT A SHARP PAIN IN HIS RIGHTARM AND SHOULDER</t>
  </si>
  <si>
    <t>009011001271</t>
  </si>
  <si>
    <t>GB021811</t>
  </si>
  <si>
    <t>PICKING PRODUCT AND FELT BACK PAIN</t>
  </si>
  <si>
    <t>009011001227</t>
  </si>
  <si>
    <t>GB016245</t>
  </si>
  <si>
    <t>FELT A SHARP PAIN IN HIS BACK WHEN HE LIFTED THE BOX.</t>
  </si>
  <si>
    <t>009011001226</t>
  </si>
  <si>
    <t>GB016243</t>
  </si>
  <si>
    <t>LOADING TRUCK</t>
  </si>
  <si>
    <t>09011001220WC01</t>
  </si>
  <si>
    <t>GB015754</t>
  </si>
  <si>
    <t>HE WAS STOCKING GLASSWARE AND WHEN HE REACHED FOR A BOX, HE FELT A SHARP PAIN IN HIS RIGHT SHOULDER.</t>
  </si>
  <si>
    <t>009011001222</t>
  </si>
  <si>
    <t>GB016000</t>
  </si>
  <si>
    <t>CLEANING AN ICE MACHINE AND COILS FOR SEVERAL HOURS REQUIRING REACHING.</t>
  </si>
  <si>
    <t>009011001221</t>
  </si>
  <si>
    <t>GB015999</t>
  </si>
  <si>
    <t>EMPLOYEE IS AN ORDER SELECTOR &amp; IN THE NORMAL COURSE OF HIS DUTIESLIFTING BOXES  ROBERT CLAIMS HE HURT HIS BACK.</t>
  </si>
  <si>
    <t>009011001230</t>
  </si>
  <si>
    <t>GB016994</t>
  </si>
  <si>
    <t>TWISTED WHILE TURNING PROJECT HE WAS WORKING ON.</t>
  </si>
  <si>
    <t>009011001228</t>
  </si>
  <si>
    <t>GB016246</t>
  </si>
  <si>
    <t>THE EE COMPLAINS OF PAIN IN HER RIGHT WRIST WHILE TYPING.</t>
  </si>
  <si>
    <t>009011001219</t>
  </si>
  <si>
    <t>GB015998</t>
  </si>
  <si>
    <t>THROWING AWAY TRASH AND THE DUMPSTER HAD GLASS INT HE BOTTOM      (LIGHTBULB)  WHICH SHATTERED AND WENT BACK INTO HIS EYE.</t>
  </si>
  <si>
    <t>009011001217</t>
  </si>
  <si>
    <t>GB015752</t>
  </si>
  <si>
    <t>WAS PICKING UP BOXES FROM RACK AND PLACING THEM ON A PALLET.</t>
  </si>
  <si>
    <t>009011001224</t>
  </si>
  <si>
    <t>GB016143</t>
  </si>
  <si>
    <t>THE EE WAS IN A TRUCK  MAKING A DELIVERY TO A CUSTOMER'S LOCATION WHEN HE TRIPPED ON THE STRAPS OF THE TRUCK AND FELL. THE EE       EXPERIENCED SWELLING AND PAIN IN THE RIGHT KNEE.</t>
  </si>
  <si>
    <t>009011001214</t>
  </si>
  <si>
    <t>GB015391</t>
  </si>
  <si>
    <t>CUT, PUNCTURE, SCRAPE, NOC</t>
  </si>
  <si>
    <t>EMPLOYEE WAS LIFTING PALLET AND BACKED INTO A PIECE OF WOOD WITH A NAIL STICKING OUT PUNCTURED HIS RIGHT ARM.</t>
  </si>
  <si>
    <t>009011001236</t>
  </si>
  <si>
    <t>GB017227</t>
  </si>
  <si>
    <t>HAND SLIPPED ON ADJUSTABLE WRENCH AND ELBOW HIT STAINLESS STEEL   CUTTING IT OPEN</t>
  </si>
  <si>
    <t>009011001232</t>
  </si>
  <si>
    <t>GB016636</t>
  </si>
  <si>
    <t>HAND TRUCK WAS STUCK WHILE GOING THROUGH A DOOR.  PRODUCT AND HANDTRUCK FELL ON TOP OF ME.</t>
  </si>
  <si>
    <t>009011001218</t>
  </si>
  <si>
    <t>GB015753</t>
  </si>
  <si>
    <t>OBJECT HANDLED BY OTHERS</t>
  </si>
  <si>
    <t>LIFTING TABLE OVER HEAD TO GET INSIDE A DOOR AND ANOTHER PERSON   (TEMP) DROPPED HIS PORTION OF THE TABLE AND THE TABLE STRUCK      CLAIMANT IN FACE</t>
  </si>
  <si>
    <t>009011001213</t>
  </si>
  <si>
    <t>GB015037</t>
  </si>
  <si>
    <t>EMPLOYEE WAS CUTTING THE TIP OF A CAULK TUBE AND AS               HE WAS CUTTING THE RAZOR KNIFE SLIPPED OFF OF THE TUBE CUTTING    THROUGH GLOVE INTO INDEX FINGER.</t>
  </si>
  <si>
    <t>009011001216</t>
  </si>
  <si>
    <t>GB015751</t>
  </si>
  <si>
    <t>EMPLOYEE WAS PICKING UP STAINLESS STEEL TABLE/SINK TO FLIP OVER   AND SET ON TOP OF SECOND PIECE AND FELT PAIN IN LOWER BACK.</t>
  </si>
  <si>
    <t>009011001225</t>
  </si>
  <si>
    <t>GB016244</t>
  </si>
  <si>
    <t>LIFTING STAINLESS STEEL TRIM ONTO A SHELF WHEN HE FELT PAIN IN HISRIGHT SHOULDER</t>
  </si>
  <si>
    <t>009011001231</t>
  </si>
  <si>
    <t>GB018429</t>
  </si>
  <si>
    <t>WHEN LOADING WALL ON TRUCK  IT STARTED TO SLIP  HE CAUGHT IT AND  LIFTED BACK UPRIGHT</t>
  </si>
  <si>
    <t>009011001212</t>
  </si>
  <si>
    <t>GB014786</t>
  </si>
  <si>
    <t>EMPLOYEE WAS UNLOADING AN OVERSHELF FROM END OF TRUCK AND STRAINEDLOWER BACK</t>
  </si>
  <si>
    <t>009011001208</t>
  </si>
  <si>
    <t>GB014370</t>
  </si>
  <si>
    <t>WHEN STARTING TO STAND BACK UP  HE FELT THE PAIN.</t>
  </si>
  <si>
    <t>009011001209</t>
  </si>
  <si>
    <t>GB014648</t>
  </si>
  <si>
    <t>THE EE WAS CLIMBING DOWN A LADDER ON THE SIDE OF THE TRUCK WHEN HEMISSED A STEP  FELL AND TWISTED HIS ANKLE. THE EE IS EXPERIENCING PAIN TO THE RIGHT ANKLE.</t>
  </si>
  <si>
    <t>009011001229</t>
  </si>
  <si>
    <t>GB016464</t>
  </si>
  <si>
    <t>THE EE WAS MAKING A DELIVERY AND TAKING MERCHANDISE DOWN THE STEPSWHEN HIS FOOT SLIPPED OFF THE STEP. THE EE DID A SPLIT ON THE     STAIRS. THE EE PULLED A MUSCLE IN THE GROIN.</t>
  </si>
  <si>
    <t>009011001210</t>
  </si>
  <si>
    <t>GB014536</t>
  </si>
  <si>
    <t>CUTTING THROUGH PLASTIC WHEN THE CUTTING WHEEL FAILED.  WHEEL     BROKE INTO SEVERAL PIECES AND ONE STRUCK RIGHT INDEX FINGER       KNUCKLE.</t>
  </si>
  <si>
    <t>09011001206WC01</t>
  </si>
  <si>
    <t>GB014238</t>
  </si>
  <si>
    <t>OTH THAN PHYS CAUSE OF INJURY</t>
  </si>
  <si>
    <t>No Physical Injury</t>
  </si>
  <si>
    <t>FOR 10 DAYS SHE HAS BEEN FEELING STRESSED ABOUT HER WORKLOAD, HAS BEEN UNABLE TO SLEEP. TODAY SHE COULDN'T BREATHE AND WAS SHAKING.</t>
  </si>
  <si>
    <t>009011001203</t>
  </si>
  <si>
    <t>GB014468</t>
  </si>
  <si>
    <t>STRIKING AGST/STEPPING ON NOC</t>
  </si>
  <si>
    <t>REMOVING A PALLET FROM A JACK AND STRUCK ANOTHER PALLET ON A      PARKED JACK.</t>
  </si>
  <si>
    <t>009011001201</t>
  </si>
  <si>
    <t>GB013610</t>
  </si>
  <si>
    <t>WOODEN PALLET FELL ONTO FOOT</t>
  </si>
  <si>
    <t>009011001270</t>
  </si>
  <si>
    <t>GB021725</t>
  </si>
  <si>
    <t>INJURED PLAYING SOFTBALL VOLUNTARY AFTER WORK HOURS</t>
  </si>
  <si>
    <t>009011001200</t>
  </si>
  <si>
    <t>GB013883</t>
  </si>
  <si>
    <t>HE SLAMMED HIS RIGHT MIDDLE FINGER IN THE CAR DOOR.</t>
  </si>
  <si>
    <t>ST0202</t>
  </si>
  <si>
    <t>ISI COMM REFRIG-BEAUMONT</t>
  </si>
  <si>
    <t>009011001215</t>
  </si>
  <si>
    <t>GB015392</t>
  </si>
  <si>
    <t>HIT HAND ON EDGE OF METAL FRAME WHILE TIGHTENING A NUT</t>
  </si>
  <si>
    <t>009011001196</t>
  </si>
  <si>
    <t>GB013291</t>
  </si>
  <si>
    <t>A CUSTOMER TRIPPED AND FELL  PUSHING JAIME DOWN AND CAUSING HER   KNEES TO BE PUSHED INTO THE EDGE OF THE DESK.</t>
  </si>
  <si>
    <t>009011001197</t>
  </si>
  <si>
    <t>GB013292</t>
  </si>
  <si>
    <t>HENRY TWISTED/LIFTED A BOX AND FELT A PULL IN HIS BACK.</t>
  </si>
  <si>
    <t>TM1902</t>
  </si>
  <si>
    <t>009011001198</t>
  </si>
  <si>
    <t>GB013293</t>
  </si>
  <si>
    <t>LEFT HAND SLIPPED CAUSING THE SCREWS HE WAS TIGHTENING TO CUT HIS LEFT INDEX FINGER  THROUGH HIS GLOVES.</t>
  </si>
  <si>
    <t>009011001195</t>
  </si>
  <si>
    <t>GB012938</t>
  </si>
  <si>
    <t>UNLOADING AN DISASSEMBLED WORK TABLE; PULLED THE STRAP AND DUE TO THE WEIGHT OF THE UNIT  THE STRAP SNAPPED CAUSING HIM TO FALL     BACKWARD  HITTING HIS ELBOW ON THE LADDER BEHIND HIM ON THE FLOOR.</t>
  </si>
  <si>
    <t>009011001194</t>
  </si>
  <si>
    <t>GB013462</t>
  </si>
  <si>
    <t>THE EE WAS AT HER DESK CLEANING HER PERSONAL KNIFE AFTER BREAKFASTAT WORK . THE EE LACERATED HER LEFT MIDDLE FINGER ON THE KNIFE.</t>
  </si>
  <si>
    <t>009011001192</t>
  </si>
  <si>
    <t>GB012689</t>
  </si>
  <si>
    <t>DAVID TRIED TO MOVE A PALLET BY HAND INSTEAD OF BREAKING IT DOWN.</t>
  </si>
  <si>
    <t>009011001193</t>
  </si>
  <si>
    <t>GB012790</t>
  </si>
  <si>
    <t>PULLING ORDERS FROM SHELVES.  BOX FELL FROM SHELF ON TO FOOT</t>
  </si>
  <si>
    <t>009011001191</t>
  </si>
  <si>
    <t>GB012789</t>
  </si>
  <si>
    <t>THE EE WAS IN TRAFFIC ACCIDENT AND THE EE IS EXPERIENCING SORENESS AND, PAIN IN HIS SHOULDER BLADE, LOWER BACK AREA,NECK AND LEFT</t>
  </si>
  <si>
    <t>009011001187</t>
  </si>
  <si>
    <t>GB012483</t>
  </si>
  <si>
    <t>TRIPPED ON PALLET OF STAINLESS STEEL WORKSHELVES WHILE WALKING</t>
  </si>
  <si>
    <t>009011001184</t>
  </si>
  <si>
    <t>GB012146</t>
  </si>
  <si>
    <t>LIFTING A BOX.  THEN FELT A PAIN IN RIGHT MIDDLE FINGER</t>
  </si>
  <si>
    <t>009011001183</t>
  </si>
  <si>
    <t>GB012211</t>
  </si>
  <si>
    <t>JAQUEL DID NOT REMOVE HIS FINGER IN TIME BEFORE THE UNIT WAS      PLACED ON THE FLOOR.</t>
  </si>
  <si>
    <t>009011001202</t>
  </si>
  <si>
    <t>GB014105</t>
  </si>
  <si>
    <t>FELL WHILE WALKING TO COPIER; FOOT CAME OUT OF SANDAL AND TRIPPED</t>
  </si>
  <si>
    <t>009011001188</t>
  </si>
  <si>
    <t>GB012278</t>
  </si>
  <si>
    <t>I HAD CHANGED THE HARVEST ASSIST ON ICE MACHINE AND TIMED OUT A BATCH OF ICE. AFTER VERIFYING THE HARVEST ASSIST WORKED, PUT COVER</t>
  </si>
  <si>
    <t>009011001181</t>
  </si>
  <si>
    <t>GB011895</t>
  </si>
  <si>
    <t>LIFTED PRODUCT AND TWISTED  HURT BACK</t>
  </si>
  <si>
    <t>Carey  Armistead</t>
  </si>
  <si>
    <t>009011001174</t>
  </si>
  <si>
    <t>GB011201</t>
  </si>
  <si>
    <t>HIT RIGHT HAND ON STAPLE STICKING OUT OF PALLET AS HE WAS WRAPPINGTHE PALLET</t>
  </si>
  <si>
    <t>009011001176</t>
  </si>
  <si>
    <t>GB011244</t>
  </si>
  <si>
    <t>UNPACKING PALLET</t>
  </si>
  <si>
    <t>009011001182</t>
  </si>
  <si>
    <t>GB012145</t>
  </si>
  <si>
    <t>IW WAS STRETCHING DOOR SPRAIN FROM 180 MACHINE  OLD SPRAIN BROKEN.HE WAS TRYING TO REPLACE THE SPRAIN AND WAS PULLING IT DOWN TO    LOCK IT ONTO THE BRACKET AND HE FELT A SPRAIN IN HIS RIGHT ARM.</t>
  </si>
  <si>
    <t>009011001169</t>
  </si>
  <si>
    <t>GB011302</t>
  </si>
  <si>
    <t>EMPLOYEE WENT TO SIT DOWN ON CHAIR AND THE CHAIR MOVED AS THE     EMPLOYEE WAS SITTING CAUSING HER TO FALL TO THE FLOOR INSTEAD OF  SIT IN CHAIR.</t>
  </si>
  <si>
    <t>09011001189WC01</t>
  </si>
  <si>
    <t>GB012688</t>
  </si>
  <si>
    <t>RAFAEL FELT A POP IN HIS RIGHT SHOULDER.</t>
  </si>
  <si>
    <t>009011001167</t>
  </si>
  <si>
    <t>GB011159</t>
  </si>
  <si>
    <t>CUTTING A STRAP FROM A BOX TO REMOVE THE BOX FROM A PALLET.       BECAUSE THE STRAP WAS SO TIGHT  HE USED HIS HAND TO PULL THE STRAPAWAY FROM THE BOX  REMOVING HIS GLOVE IN THE PROCESS  AND THE BOX CUTTER HIT HIS LEFT INDEX FINGER  CUTTING IT.</t>
  </si>
  <si>
    <t>009011001168</t>
  </si>
  <si>
    <t>GB011507</t>
  </si>
  <si>
    <t>EMPLOYEE WAS BENT OVER LEANING INTO HIS VEHICLE. ATTEMPTED TO MOVEA MICROWAVE AND FELT A SHARP PAIN IN ID RIGHT SHOULDER.</t>
  </si>
  <si>
    <t>NY</t>
  </si>
  <si>
    <t>009011001165</t>
  </si>
  <si>
    <t>GB010837</t>
  </si>
  <si>
    <t>A BOX OF GLASSES FELL FROM THE TOP OF THE LOAD AND HIT THE        EMPLOYEE ON THE BACK</t>
  </si>
  <si>
    <t>009011001177</t>
  </si>
  <si>
    <t>GB011546</t>
  </si>
  <si>
    <t>PULLING LIFTGATE</t>
  </si>
  <si>
    <t>009011001163</t>
  </si>
  <si>
    <t>GB010836</t>
  </si>
  <si>
    <t>THE EMPLOYEE AND ANOTHER EMPLOYEE WERE LIFTING - PAIN IN RIGHT    SHOULDER</t>
  </si>
  <si>
    <t>009011001170</t>
  </si>
  <si>
    <t>GB011303</t>
  </si>
  <si>
    <t>THE EMPLOYEE WAS MOVING A PIECE OF METAL FROM SAW STORAGE RACK.   THE TUBING HAD CUTTING FLUID ON IT INSIDE OF THE TUBE THAT        SPLASHED BACK IN TO HIS FACE PAST THE SAFETY GLASSES HITTING RIGHTEYE.</t>
  </si>
  <si>
    <t>009011001172</t>
  </si>
  <si>
    <t>GB011305</t>
  </si>
  <si>
    <t>LOWERING A CEILING PANEL FROM A WALK-IN COOLER WHEN IT FELL ONTO LTHIGH</t>
  </si>
  <si>
    <t>009011001207</t>
  </si>
  <si>
    <t>GB014369</t>
  </si>
  <si>
    <t>LIFTING A 2-DOOR COOLER THROUGH A DOORWAY</t>
  </si>
  <si>
    <t>009011001427</t>
  </si>
  <si>
    <t>GB057283</t>
  </si>
  <si>
    <t>CLAIMANT IS ALLEGING INJURIES TO KNEE, WRIST, BACK, FINGERS, AND SHOULDERS. THIS IS A CUMULATIVE INJURY FROM 6/1/19 TO 8/4/22.</t>
  </si>
  <si>
    <t>TM1908</t>
  </si>
  <si>
    <t>009011001166</t>
  </si>
  <si>
    <t>GB011158</t>
  </si>
  <si>
    <t>WALKING THROUGH WALKWAY BETWEEN SALES FLOOR AND BEHIND THE COUNTERAND HIT A TABLE THAT WAS LEANING AGAINST THE COUNTER. TABLE FELL  ON TOP OF HER FOOT.</t>
  </si>
  <si>
    <t>009011001173</t>
  </si>
  <si>
    <t>GB011306</t>
  </si>
  <si>
    <t>BENDING OVER TO PICK UP A CASE OF PRODUCT AND TWISTED AT THE SAME TIME.</t>
  </si>
  <si>
    <t>009011001164</t>
  </si>
  <si>
    <t>GB011157</t>
  </si>
  <si>
    <t>SLIP OR TRIP/ DID NOT FALL</t>
  </si>
  <si>
    <t>WALKING INTO KITCHEN FROM SIDE DOOR AND SLIPPED ON SLIPPERY FLOOR.DID NOT FALL  BUT IN THE PROCESS INJURED LOWER BACK</t>
  </si>
  <si>
    <t>09011001159WC01</t>
  </si>
  <si>
    <t>GB010553</t>
  </si>
  <si>
    <t>STRAIN OR INJURY BY, NOC</t>
  </si>
  <si>
    <t>EMPLOYEE FELT PAIN IN HIS BACK THAT GOT PROGRESSIVELY WORSE AS THE WEEKEND WENT ON</t>
  </si>
  <si>
    <t>009011001204</t>
  </si>
  <si>
    <t>GB014104</t>
  </si>
  <si>
    <t>WENT TO OPERATE THE PALLET JACK  MOTOR KEPT RUNNING AFTER THE     EMERGENCY BREAK WAS PULLED.  THE MACHINE THEN RAN HIM INTO A      MERCHANDISE SHELF.  THE IMPACT PINNED HIM TO THE RACK AND HIS BODYFELL  NECK WAS HIT ON THE MACHINE.</t>
  </si>
  <si>
    <t>009011001171</t>
  </si>
  <si>
    <t>GB011304</t>
  </si>
  <si>
    <t>BENDING OVER LOOKING FOR A PART IN SERVICE VEHICLE AND FELT WARM  FEELING IN LOWER BACK AND COULD NOT STRAIGHTEN UP.</t>
  </si>
  <si>
    <t>009011001175</t>
  </si>
  <si>
    <t>GB011277</t>
  </si>
  <si>
    <t>Burn</t>
  </si>
  <si>
    <t>WAS TRYING TO LOOSEN MOTOR MOUNT BOLTS AND STUCK HAND UP FOR      LEVERAGE. ACCIDENTALLY TOUCHED HOT BOX ON FRYER.</t>
  </si>
  <si>
    <t>009011001156</t>
  </si>
  <si>
    <t>GB011017</t>
  </si>
  <si>
    <t>EMPLOYEE WAS WALKING OUT OF COPIER ROOM AND TRIPPED ON A PIECE OF RUBBER BINDING OVER THE CARPETING WHICH IS OVER THE THRESHOLD OF  THE ROOM.</t>
  </si>
  <si>
    <t>009011001161</t>
  </si>
  <si>
    <t>GB010701</t>
  </si>
  <si>
    <t>EMPLOYEE SLIPPED ON A WET CARPET RUNNER  WHICH HAD JUST BEEN      DELIVERED BY VENDOR. THE RUNNER WAS WET ON THE BOTTOM.</t>
  </si>
  <si>
    <t>009011001155</t>
  </si>
  <si>
    <t>GB010305</t>
  </si>
  <si>
    <t>EMPLOYEE PICKED UP A CASE OF BLEACH. A PLASTIC BOTTLE FELL OUT OF THE BOTTOM OF THE BOX  HITTING THE FLOOR  SPLITTING OPEN &amp;        SPLASHING A SMALL AMOUNT OF BLEACH INTO EMPLOYEES RIGHT EYE.</t>
  </si>
  <si>
    <t>TM1002</t>
  </si>
  <si>
    <t>TRIMARK GILL GROUP-PHOENIX</t>
  </si>
  <si>
    <t>009011001158</t>
  </si>
  <si>
    <t>GB010554</t>
  </si>
  <si>
    <t>*WALKED IN RESTROOM STALL  SLIPPED AND FELL ON RIGHT LEG  HITTING KNEE AND BUTTOCKS</t>
  </si>
  <si>
    <t>AZ</t>
  </si>
  <si>
    <t>009011001154</t>
  </si>
  <si>
    <t>GB010011</t>
  </si>
  <si>
    <t>STEPPED ON A METAL STAPLE AND PINCHED HIS RIGHT FOOT</t>
  </si>
  <si>
    <t>009011001152</t>
  </si>
  <si>
    <t>GB010304</t>
  </si>
  <si>
    <t>SPRAINED HIS BACK WHILE MOVING A STAINLESS STEEL SINK.</t>
  </si>
  <si>
    <t>009011001151</t>
  </si>
  <si>
    <t>GB010303</t>
  </si>
  <si>
    <t>WHILE MOVING A BOX  MORDECAI'S HAND SLIPPED  THE NAIL CAUGHT ON   THE BOX AND GOT BENT BACK.</t>
  </si>
  <si>
    <t>009011001149</t>
  </si>
  <si>
    <t>GB009731</t>
  </si>
  <si>
    <t>WHILE ON SCRUBBER  SCRUBBER BACKED OFF OF THE LOADING DOCK. FELL  APPROX. 4 FT.</t>
  </si>
  <si>
    <t>009011001157</t>
  </si>
  <si>
    <t>GB010551</t>
  </si>
  <si>
    <t>EMPLOYEE ENCOUNTERED AN ALTERCATION WITH ANOTHER EMPLOYEE. THE    OTHER EMPLOYEE CHALLENGED HECTOR TO HIT HIM. WHILE BEING          RESTRAINED  HECTOR INJURED HIS WRIST.</t>
  </si>
  <si>
    <t>009011001148</t>
  </si>
  <si>
    <t>GB010130</t>
  </si>
  <si>
    <t>THE EE WAS AT CUSTOMER SITE REMOVING AN EXISTING DISHWASHER USING A PLASMA CUTTER AND STRETCHING TO MAKE CUT AND STRETCHED A MUSCLE IN HIS RIB CAGE.THE TREATING PHYSICIAN LATER DXED EE AS HAVING A  CONTUSION OF LEFT FRONT WALL OF THORAX.</t>
  </si>
  <si>
    <t>009011001185</t>
  </si>
  <si>
    <t>GB012687</t>
  </si>
  <si>
    <t>THE EE STATED HE WAS FEELING STRESSED AND HE HAS TROUBLE FALLING  ASLEEP AT NIGHT BECAUSE OF LACK OF QUALITY HELP AND SUPPORT ON THEJOB SITE.</t>
  </si>
  <si>
    <t>009011001186</t>
  </si>
  <si>
    <t>GB012277</t>
  </si>
  <si>
    <t>GETTING IN AND OUT OF HIS TRUCK AND BEGAN HAVING PAIN TO HIS LT   UPPER THIGH</t>
  </si>
  <si>
    <t>TM1705</t>
  </si>
  <si>
    <t>009011001142</t>
  </si>
  <si>
    <t>GB009584</t>
  </si>
  <si>
    <t>WHILE MOVING PACKAGING/BOXES ONE CAME DOWN ON HIS FINGER</t>
  </si>
  <si>
    <t>009011001150</t>
  </si>
  <si>
    <t>GB010131</t>
  </si>
  <si>
    <t>WALKING IN FROM PARKING LOT INTO FRONT DOOR.  SLIPPED ON CURB</t>
  </si>
  <si>
    <t>009011001145</t>
  </si>
  <si>
    <t>GB009537</t>
  </si>
  <si>
    <t>STRUCK OTHER VEHICLE FROM BEHIND INJURING WRIST AND NECK.</t>
  </si>
  <si>
    <t>009011001162</t>
  </si>
  <si>
    <t>GB010835</t>
  </si>
  <si>
    <t>HIT FROM BEHIND IN MVA</t>
  </si>
  <si>
    <t>009011001144</t>
  </si>
  <si>
    <t>GB009417</t>
  </si>
  <si>
    <t>MOVING A CABINET BASE AND IT FELL ON HIS SHOULDER</t>
  </si>
  <si>
    <t>009011001147</t>
  </si>
  <si>
    <t>GB010129</t>
  </si>
  <si>
    <t>WHILE THE EE WAS AT A CUSTOMER LOCATION AND WAS MOVING A SKID TO  THE LIFT GATE ON HIS TRUCK  HE LOST CONTROL OF THE SKID. WHEN HE  PULLED TO TRY TO STOP THE SKID FROM MOVING  HE PULLED A MUSCLE IN HIS LEFT SHOULDER.</t>
  </si>
  <si>
    <t>09011001139WC01</t>
  </si>
  <si>
    <t>GB009583</t>
  </si>
  <si>
    <t>Reopened</t>
  </si>
  <si>
    <t>Rupture</t>
  </si>
  <si>
    <t>BACK DOOR OF TRUCK WAS STUCK CLOSED. EMPLOYEE STRAINED HIS SHOULDER TRYING TO OPEN IT.</t>
  </si>
  <si>
    <t>009011001141</t>
  </si>
  <si>
    <t>GB009169</t>
  </si>
  <si>
    <t>ERIC STEPPED OFF OF HIS PALLET JACK &amp; TURNED HIS ANKLE.</t>
  </si>
  <si>
    <t>009011001140</t>
  </si>
  <si>
    <t>GB009126</t>
  </si>
  <si>
    <t>EMPLOYEE BENT OVER AND HIT A PC OF METAL.</t>
  </si>
  <si>
    <t>009011001136</t>
  </si>
  <si>
    <t>GB010550</t>
  </si>
  <si>
    <t>HELPING A COWORKER PLACE A BOX ON THE GROUND AND ONCE DOWN  FELT  SHOULDER POP</t>
  </si>
  <si>
    <t>009011001134</t>
  </si>
  <si>
    <t>GB009304</t>
  </si>
  <si>
    <t>STRAP BROKE WHEN PULLING A BOX AND HE FELL BACK AND LANDED ON PALLET JACK INJURED HIS LOWER BACK</t>
  </si>
  <si>
    <t>ST0301</t>
  </si>
  <si>
    <t>STRATEIG EQUIP LLC-KNOXVILLE</t>
  </si>
  <si>
    <t>009011001137</t>
  </si>
  <si>
    <t>GB009305</t>
  </si>
  <si>
    <t>PUTTING DOOR HANDLE ON COOLER AND ONCE FINISHED  STEPPED          BACKWARDS. EE DID NOT NOTICE ANY SYMPTOMS OF INJURY UNTIL HE WOKE ONE MORNING WITH A SWOLLEN KNEE AND ATTRIBUTED TO WORK. SENT TO   CLINIC AND WAS DIAGNOSED WITH TRAUMATIC ANTHROPATHY.</t>
  </si>
  <si>
    <t>009011001138</t>
  </si>
  <si>
    <t>GB009306</t>
  </si>
  <si>
    <t>HIS HAND SLIPPED AND THE HANDLE OF THE HAND TRUCK HIT HIM ON THE  RIGHT SIDE OF HIS FACE  STRIKING HIM IN THE CHEEKBONE AND EYE.</t>
  </si>
  <si>
    <t>009011001131</t>
  </si>
  <si>
    <t>GB009303</t>
  </si>
  <si>
    <t>EMPLOYEE WAS PULLING METAL BANDING OFF A SKID AND THE             BANDING SLIPPED FROM HIS GRIP CUTTING BETWEEN THIS THUMB AND PALM (FIRST FINGER)</t>
  </si>
  <si>
    <t>009011001128</t>
  </si>
  <si>
    <t>GB008954</t>
  </si>
  <si>
    <t>All other occupational disease</t>
  </si>
  <si>
    <t>CUMULATIVE INJURY TO RIGHT LOWER LEG  HAND AND SHOULDER. NORMA HASPAIN IN HER JOINTS.</t>
  </si>
  <si>
    <t>009011001130</t>
  </si>
  <si>
    <t>GB009302</t>
  </si>
  <si>
    <t>NAIL IN WOOD PUNCTURED THUMB</t>
  </si>
  <si>
    <t>009011001124</t>
  </si>
  <si>
    <t>GB010549</t>
  </si>
  <si>
    <t>A TREE BRANCH FELL ON TOP OF LEO  STRIKING HIM IN THE HEAD AND    RIGHT SHOULDER.</t>
  </si>
  <si>
    <t>009011001125</t>
  </si>
  <si>
    <t>GB010548</t>
  </si>
  <si>
    <t>A TREE BRANCH FELL ON TOP OF ERNIE  LACERATING HIS LEFT HAND.</t>
  </si>
  <si>
    <t>009011001250</t>
  </si>
  <si>
    <t>GB018980</t>
  </si>
  <si>
    <t>EMPLOYEE WAS KNELLING TO DRILL HOLE IN LOWER PORTION OF COUNTER AND FELT KNEE POP THEN SHARP PAIN.</t>
  </si>
  <si>
    <t>009011001129</t>
  </si>
  <si>
    <t>GB008955</t>
  </si>
  <si>
    <t>MVA-OTHER VEHICLE DID NOT YIELD AND WAS STRUCK BY LORIN'S VEHICLE.</t>
  </si>
  <si>
    <t>009011001123</t>
  </si>
  <si>
    <t>GB008607</t>
  </si>
  <si>
    <t>HAD BEEN WORKING ON MY KNEES SEVERAL DAYS BEFORE AND KNEW WAS SOREAND SWOLLEN AND THAT DAY I JUST TURNED AND KNEE POPPED AND NOW IT IS STIFF.</t>
  </si>
  <si>
    <t>009011001119</t>
  </si>
  <si>
    <t>GB008102</t>
  </si>
  <si>
    <t>THE EE BROUGHT PRODUCT DOWN A CUSTOMER'S BASEMENT STAIRS  AND     EXPERIENCED PAIN IN HIS BACK.</t>
  </si>
  <si>
    <t>009011001121</t>
  </si>
  <si>
    <t>GB008450</t>
  </si>
  <si>
    <t>INSTALLING A COUNTERTOP.</t>
  </si>
  <si>
    <t>009011001118</t>
  </si>
  <si>
    <t>GB008101</t>
  </si>
  <si>
    <t>KEVIN ACCIDENTALLY DROVE INTO A HIGHLY VISIBLE STATIONARY OBJECT  (POLE).</t>
  </si>
  <si>
    <t>009011001116</t>
  </si>
  <si>
    <t>GB008171</t>
  </si>
  <si>
    <t>FORKLIFT HIT FLATBED; HANDLE OF FLATBED HIT GABRIEL IN THE RIGHT  HIP.</t>
  </si>
  <si>
    <t>009011001117</t>
  </si>
  <si>
    <t>GB008057</t>
  </si>
  <si>
    <t>TOP DRAWER OF FILE OPENED  FILE CABINET TIPPED ONTO EMPLOYEE</t>
  </si>
  <si>
    <t>009011001115</t>
  </si>
  <si>
    <t>GB007738</t>
  </si>
  <si>
    <t>STEPPING DOWN FROM THE BACK OF A BOX TRAILER WHEN HIS FOOT SLIPPED OFF OF THE ICC BAR AND HE FELL BACKWARDS ONTO THE CONCRETE HITTING</t>
  </si>
  <si>
    <t>009011001112</t>
  </si>
  <si>
    <t>GB007895</t>
  </si>
  <si>
    <t>REMOVING STRAP HOLDING COMBINATION OVEN TO PALLET-STRAP SNAPPED   AND STRUCK LEFT INDEX FINGER CAUSING INJURY</t>
  </si>
  <si>
    <t>009011001111</t>
  </si>
  <si>
    <t>GB007597</t>
  </si>
  <si>
    <t>SLIPPED ON PATCH OF ICE AT A CLIENT JOB SITE</t>
  </si>
  <si>
    <t>009011001109</t>
  </si>
  <si>
    <t>GB007575</t>
  </si>
  <si>
    <t>PICKED UP A BOX AT AN AWKWARD ANGLE</t>
  </si>
  <si>
    <t>009011001110</t>
  </si>
  <si>
    <t>GB007730</t>
  </si>
  <si>
    <t>TRAVIS WAS WALKING THROUGH THE WAREHOUSE AND FELT A SHARP         PAIN IN THE BACK OF HIS KNEE.  NO ACCIDENT  NO HORSEPLAY          NO OTHER CIRCUMSTANCES.</t>
  </si>
  <si>
    <t>009011001106</t>
  </si>
  <si>
    <t>GB007574</t>
  </si>
  <si>
    <t>DRIVER SLIPPED ON CUSTOMERS RAMP FROM THEIR DOORWAY TO THEIR      STORAGE AREA IN THEIR BASEMENT.</t>
  </si>
  <si>
    <t>009011001120</t>
  </si>
  <si>
    <t>GB008606</t>
  </si>
  <si>
    <t>A LADDER THAT I WAS WORKING ON GAVE WAY. I HAD TO DROP MYSELF DOWN FROM HANGING FROM A EXHAUST HOOD AFTER THE LADDER GAVE WAY</t>
  </si>
  <si>
    <t>009011001107</t>
  </si>
  <si>
    <t>GB007287</t>
  </si>
  <si>
    <t>LINCOLN WAS WALKING TO THE OFFICE AT RYDER IN BRAINTREE  MA.      LINCOLN SLIPPED AND FELL ON SOME ICE  BREAKING HIS LEG.</t>
  </si>
  <si>
    <t>009011001105</t>
  </si>
  <si>
    <t>GB007314</t>
  </si>
  <si>
    <t>WHILE IN THE KITCHEN  THE EE PLACED A BOX ON THE SINK AND IT FELL OVER AND STRUCK A SPRAY BOTTLE OF CHEMICAL CLEANSER. THE CHEMICAL SPRAY THEN SPLASHED INTO THE FACE OF THE EE AND ENTERED BOTH OF   HIS EYES.HE DID GET MEDICAL ATTENTION.</t>
  </si>
  <si>
    <t>009011001097</t>
  </si>
  <si>
    <t>GB007266</t>
  </si>
  <si>
    <t>TRIPPED ON LIP OF SIDEWALK.</t>
  </si>
  <si>
    <t>09011001102WC01</t>
  </si>
  <si>
    <t>GB007391</t>
  </si>
  <si>
    <t>LEFT FOOT WAS LACERATED.</t>
  </si>
  <si>
    <t>009011001108</t>
  </si>
  <si>
    <t>GB007315</t>
  </si>
  <si>
    <t>EE STEPPED ON A NAIL CAUSING INJURY TO HIS RIGHT FOOT.</t>
  </si>
  <si>
    <t>009011001096</t>
  </si>
  <si>
    <t>GB007238</t>
  </si>
  <si>
    <t>THE EE SLIPPED AND FELL ON A WET RAMP  WALKING OUT OF A           RESTAURANT. THE EE LANDED ON HIS ELBOW. THE EE WAS EXPERIENCING   PAIN TO THE ELBOW AND SHOULDER.</t>
  </si>
  <si>
    <t>009011001091</t>
  </si>
  <si>
    <t>GB006754</t>
  </si>
  <si>
    <t>EMPLOYEE WAS PICKING UP HEAVY EQUIPMENT AND FELT PAIN IN LOWER    BACK.</t>
  </si>
  <si>
    <t>009011001090</t>
  </si>
  <si>
    <t>GB006955</t>
  </si>
  <si>
    <t>EMPLOYEE WAS NOT LOOKING WHERE HE WAS WALKING AND TRIPPED</t>
  </si>
  <si>
    <t>009011001092</t>
  </si>
  <si>
    <t>GB006755</t>
  </si>
  <si>
    <t>TRYING TO LIFT A SANDWICH UNIT</t>
  </si>
  <si>
    <t>009011001089</t>
  </si>
  <si>
    <t>GB006730</t>
  </si>
  <si>
    <t>THE EE WAS IN THE WAREHOUSE ATTEMPTING TO MOVE A 40 POUND PAIL OF CHEMICALS AND FELT A PAIN IN HIS LEFT LOWER BACK.</t>
  </si>
  <si>
    <t>009011001095</t>
  </si>
  <si>
    <t>GB006883</t>
  </si>
  <si>
    <t>STEPPED ON EMPTY PALLET &amp; FOOT WENT BETWEEN BOARDS. THIS CAUSED   JASON TO FALL BACKWARDS.</t>
  </si>
  <si>
    <t>009011001087</t>
  </si>
  <si>
    <t>GB006423</t>
  </si>
  <si>
    <t>EMPLOYEE BENT OVER TO INSPECT SINK AND SAID HE FELT POP THINKING  HE PULLED A MUSCLE IN BACK AREA.</t>
  </si>
  <si>
    <t>009011001088</t>
  </si>
  <si>
    <t>GB006400</t>
  </si>
  <si>
    <t>WAS REMOVING A CONDENSING UNIT FROM ROOF AND SPRAINED AND PULLED HIS BACK MUSCLES</t>
  </si>
  <si>
    <t>009011001084</t>
  </si>
  <si>
    <t>GB006673</t>
  </si>
  <si>
    <t>SLIPPED ON ICE</t>
  </si>
  <si>
    <t>009011001085</t>
  </si>
  <si>
    <t>GB006319</t>
  </si>
  <si>
    <t>HE WAS DRIVING ON A PIECE OF EQUIPMENT DOWN AN AISLE TOWARD       OVERHEAD DOORS. HE LOOKED BACK TO SEE WHERE HIS PALETTE WAS AND IFIT WAS GOING TO FIT BETWEEN THE AISLE AND ANOTHER ORDER PICKER    THAT WAS PARKED. WHEN HE TURNED HIS HEAD  HE MOVED T</t>
  </si>
  <si>
    <t>009011001086</t>
  </si>
  <si>
    <t>GB006359</t>
  </si>
  <si>
    <t>THUMB CAUGHT AND  SMASHED BETWEEN WALL AND GRANITE WHILE MOVING   COUNTERTOP</t>
  </si>
  <si>
    <t>009011001082</t>
  </si>
  <si>
    <t>GB006399</t>
  </si>
  <si>
    <t>PICKED UP ONE END OF A LARGE PALLET WHILE ANOTHER EMPLOYEE PICKED UP THE OTHER END. THE OTHER EMPLOYEE LOST HIS GRIP  DROPPED HIS   END OF THE PALLET  CAUSING ADRIAN TO DROP HIS END ON HIS FOOT.</t>
  </si>
  <si>
    <t>009011001080</t>
  </si>
  <si>
    <t>GB006100</t>
  </si>
  <si>
    <t>STEPPED ON A NAIL</t>
  </si>
  <si>
    <t>009011001076</t>
  </si>
  <si>
    <t>GB006017</t>
  </si>
  <si>
    <t>EE WAS IN THE WAREHOUSE  CUTTING MOLDING AND THE KNIFE SLIPPED    LACERATING HIS LEFT INDEX FINGER.</t>
  </si>
  <si>
    <t>009011001074</t>
  </si>
  <si>
    <t>GB006016</t>
  </si>
  <si>
    <t>SEAN WAS STANDING ON THE 2ND OR 3RD RUNG ON A 6 LADDER WAITING FORA PIECE OF ALL THREAD TO BE HANDED TO HIM TO MAKE THE CONNECTION  POINT FOR THE EXHAUST HOOD. SEAN FELL FROM THE LADDER ONTO THE    CONCRETE HITTING FACE/HEAD FIRST FLOOR. SEAN DOES NO</t>
  </si>
  <si>
    <t>TM1703</t>
  </si>
  <si>
    <t>009011001075</t>
  </si>
  <si>
    <t>GB005993</t>
  </si>
  <si>
    <t>HE WAS MOVING SOME EQUIPMENT  LOSS HIS FOOTING AND THE EQUIPMENT  ROLLED BACK HITTING HIS KNEE AND SPRAINING HIS WRIST</t>
  </si>
  <si>
    <t>009011001077</t>
  </si>
  <si>
    <t>GB006398</t>
  </si>
  <si>
    <t>LEFT TORN ACHILLES TENDON.</t>
  </si>
  <si>
    <t>009011001093</t>
  </si>
  <si>
    <t>GB006860</t>
  </si>
  <si>
    <t>WHILE THE EE WAS CARRYING A MIXER BOWL ON THE SIDEWALK OUTSIDE OF THE WAREHOUSE  HE TRIPPED AND FELL OVERPLASTIC BANDING THAT WAS ONTHE FLOOR. HE SUSTAINED A SMALL LACERATION ON HIS WRIST AND LATER PROGRESSIVE PAIN TO HIS RIB CAGE.</t>
  </si>
  <si>
    <t>009011001070</t>
  </si>
  <si>
    <t>GB006172</t>
  </si>
  <si>
    <t>BEN REACHED INTO A LOCATION TO PICK A PRODUCT  KNIFE. THE KNIFE   WAS UNWRAPPED &amp; BEN PICKED IT UP BY THE BLADE BY MISTAKE  THEREBY PUNCTURING HIS PALM.</t>
  </si>
  <si>
    <t>009011001073</t>
  </si>
  <si>
    <t>GB005907</t>
  </si>
  <si>
    <t>WAS LYING ON FLOOR WORKING ON EQUIPMENT AND AS HE STOOD UP  HE    FELT MUSCLES SPASM IN LOWER BACK.</t>
  </si>
  <si>
    <t>009011001072</t>
  </si>
  <si>
    <t>GB005921</t>
  </si>
  <si>
    <t>ACCIDENTALLY CUT HER LEFT INDEX FINGER</t>
  </si>
  <si>
    <t>009011001069</t>
  </si>
  <si>
    <t>GB005678</t>
  </si>
  <si>
    <t>FELLOW WORKER/PATIENT/PERSON</t>
  </si>
  <si>
    <t>JEN WAS TRAVELING TO THE TRIMARK INNOVATION CENTER IN BOSTON VIA  TRAIN WITH 2 CO-WORKERS. AT SOUTH STATION IN BOSTON  ONE OF HER   CO-WORKERS TRIPPED AND FELL INTO JEN. THE POINT OF IMPACT WAS 2-3 INCHES ABOVE JEN'S RIGHT ANKLE.</t>
  </si>
  <si>
    <t>009011001064</t>
  </si>
  <si>
    <t>GB005541</t>
  </si>
  <si>
    <t>EMPLOYEE RAISED HIS HEAD AND HIT A BASE THAT WAS OFF PLACED.</t>
  </si>
  <si>
    <t>009011001068</t>
  </si>
  <si>
    <t>GB005486</t>
  </si>
  <si>
    <t>HELPING REPAIR EQUIPMENT IN THE DELI DEPARTMENT OF PUBLIX AND TRIPPED OVER A RUG</t>
  </si>
  <si>
    <t>009011001067</t>
  </si>
  <si>
    <t>GB005568</t>
  </si>
  <si>
    <t>LEFT LEG GOT CAUGHT BETWEEN THE STAIRS AND THE UNIT</t>
  </si>
  <si>
    <t>009011001234</t>
  </si>
  <si>
    <t>GB016841</t>
  </si>
  <si>
    <t>EMPLOYEE LIFTED A DOUBLE SHELF TO CONNECT TO ANOTHER SHELF AFTER MOVING IT WITH THE FORKLIFT.</t>
  </si>
  <si>
    <t>009011001062</t>
  </si>
  <si>
    <t>GB005432</t>
  </si>
  <si>
    <t>FELL OFF THE BACK OF THE TRUCK</t>
  </si>
  <si>
    <t>009011001066</t>
  </si>
  <si>
    <t>GB005567</t>
  </si>
  <si>
    <t>HE WAS LOADING A TRUCK OF EQUIPMENT AND WAS SLIDING A BOX         WITH A SHELF IN IT. IT SLIPPED FROM HIS HANDS AND LANDED          ON HIS RIGHT                                                      FOOT.</t>
  </si>
  <si>
    <t>009011001061</t>
  </si>
  <si>
    <t>GB005269</t>
  </si>
  <si>
    <t>THE EE WAS IN A MOTOR VEHICLE ACCIDENT AND SUSTAINED A STIFF NECK AND HEADACHE.</t>
  </si>
  <si>
    <t>TM1701</t>
  </si>
  <si>
    <t>009011001078</t>
  </si>
  <si>
    <t>GB006211</t>
  </si>
  <si>
    <t>UNLOADING AND TAKING PICTURES OF TRAILER  ROLLED FOOT/ANKLE IN    GROOVE OF TRAILER.</t>
  </si>
  <si>
    <t>009011001079</t>
  </si>
  <si>
    <t>GB006063</t>
  </si>
  <si>
    <t>EMPLOYEE WAS LOADING TRUCK AND WAS TRYING TO CATCH A FALLING BOX WHEN THE BOX FELL AND BENT HIS LEFT HAND BACKWARDS</t>
  </si>
  <si>
    <t>009011001065</t>
  </si>
  <si>
    <t>GB005566</t>
  </si>
  <si>
    <t>SCRAPED TRAILER WALL WHILE UNLOADING BLANKET IN THE BACK. SPLINTERWENT UNDER FINGER NAIL.</t>
  </si>
  <si>
    <t>009011000511</t>
  </si>
  <si>
    <t>GB005051</t>
  </si>
  <si>
    <t>HURT HIS BACK WHILE PICKING AN ORDER  WAS EXPERIENCING A THROBBINGSHOOTING                                                          PAIN IN UPPER BACK  WAS PICKING OFF PALLET WHEN INCIDENT OCCURRED.</t>
  </si>
  <si>
    <t>TM1905</t>
  </si>
  <si>
    <t>009011001059</t>
  </si>
  <si>
    <t>GB005082</t>
  </si>
  <si>
    <t>EMPLOYEE STEPPED ON A PLANK OF WOOD NOT NOTICING THERE IS A NAIL  STICKING OUT</t>
  </si>
  <si>
    <t>09011001060WC01</t>
  </si>
  <si>
    <t>GB005105</t>
  </si>
  <si>
    <t>ONE OF THE TABLE TIPPED OVER AND FELL ON THE EMPLOYEE'S LEFT SIDE</t>
  </si>
  <si>
    <t>009011000512</t>
  </si>
  <si>
    <t>GB005081</t>
  </si>
  <si>
    <t>PUSHING A LOAD OF BOXES UP THE RAMP.  FELT SOMETHING HIT BACK OF  RIGHT CALF.</t>
  </si>
  <si>
    <t>009011000513</t>
  </si>
  <si>
    <t>GB005052</t>
  </si>
  <si>
    <t>EMPLOYEE SLIP AND FELL OFF THE TRUCK.</t>
  </si>
  <si>
    <t>009011000509</t>
  </si>
  <si>
    <t>GB004896</t>
  </si>
  <si>
    <t>EVANDRO BENT DOWN TO PICK UP A BOX AND HE PLACED THE BOX ON HIS   SHOULDER. IN DOING THIS HE FELT A PAIN ON THE LEFT SIDE OF HIS    NECK AND COULD NOT MOVE HIS HEAD WITHOUT PAIN.</t>
  </si>
  <si>
    <t>009011000515</t>
  </si>
  <si>
    <t>GB005203</t>
  </si>
  <si>
    <t>PULLING PALLET ON UNEVEN GROUND. PALLET JACK ROLLED BACK AND      STRUCK HIS THIGH</t>
  </si>
  <si>
    <t>009011000510</t>
  </si>
  <si>
    <t>GB004918</t>
  </si>
  <si>
    <t>EMPLOYEE NOT KNOWING THERE IS ANOTHER SMALL BOX ON TOP OF THE BOX HE IS TRYING TO GET ON TOP OF THE SHELF RESULTING THE SMALLER BOX FULL OF MEAT TENDERIZER FELL ON HIS FACE.</t>
  </si>
  <si>
    <t>009011000508</t>
  </si>
  <si>
    <t>GB004861</t>
  </si>
  <si>
    <t>STEVEN WAS GOING TO CLOSE THE LIFT GATE ON HIS TRUCK  HE BENT DOWNTO LIFT IT UP AND FELT A STRAIN IN HIS LOWER BACK. HE IS CURRENTLYON LIGHT DUTY  HE HAS A FOLLOW-UP APPOINTMENT ON 9/19.</t>
  </si>
  <si>
    <t>009011000504</t>
  </si>
  <si>
    <t>GB004917</t>
  </si>
  <si>
    <t>EMPLOYEE HURT HIS SHOULDER AS HE PULLED THE PALLET WITH THE JACK.</t>
  </si>
  <si>
    <t>009011000505</t>
  </si>
  <si>
    <t>GB004860</t>
  </si>
  <si>
    <t>WELDING OPERATIONS</t>
  </si>
  <si>
    <t>WHEN CLOSING THE DOOR TO THE BACK OF THE TRUCK  A CONTAINER OF    CHEMICALS FELL OFF CAUSING THE CHEMICALS TO SPLASH IN THE EE'S    FACE  EYE  AND ON HIS LEFT ARM.THIS CAUSED MINOR CHEMICAL BURNS TOTHE EE.</t>
  </si>
  <si>
    <t>009011000506</t>
  </si>
  <si>
    <t>GB004785</t>
  </si>
  <si>
    <t>ANTHONY WAS DELIVERING A SINK AND HAD IT ON A DOLLY. HE OPENED THEDOOR AND THE SINK STARTED TO FALL FORWARD. HE REACHED FOR THE SINKAND THE EDGE OF IT CUT HIS RIGHT HAND.</t>
  </si>
  <si>
    <t>009011001133</t>
  </si>
  <si>
    <t>GB009582</t>
  </si>
  <si>
    <t>BUMPTED LEFT KNEE INTO A STACK OF SHIPPING PALLETS WHILE PICKING  AN ORDER</t>
  </si>
  <si>
    <t>009011000514</t>
  </si>
  <si>
    <t>GB005202</t>
  </si>
  <si>
    <t>THE EE WAS INJURED IN A MVA AND SUSTAINED NECK AND BACK INJURY    FROM THE IMPACT.</t>
  </si>
  <si>
    <t>009011000502</t>
  </si>
  <si>
    <t>GB005351</t>
  </si>
  <si>
    <t>MOVING ICE SHAVER.  WEIGHT SHIFTED AND FINGER WAS CUT.</t>
  </si>
  <si>
    <t>009011000507</t>
  </si>
  <si>
    <t>GB005352</t>
  </si>
  <si>
    <t>JORGE WAS MAKING A DELIVERY WHEN A FOREIGN OBJECT CAME OFF ONE OF THE BOXES AND INTO HIS EYE. HE BELIEVES THIS WAS DUST OR A SMALL  PIECE OF WOOD FRAGMENT. EYE WAS WASHED OUT  BUT HE STILL HAS      DISCOMFORT AND FEARED IT WAS SCRATCHED.</t>
  </si>
  <si>
    <t>009011000499</t>
  </si>
  <si>
    <t>GB004556</t>
  </si>
  <si>
    <t>WHILE IN THE PARKING LOT  THE EE WAS LIFTING THE REAR ROLL DOOR ONTHE TRUCK WHEN HE FELT SOME PAIN IN HIS LOWER BACK. STRAIN OF     TENDON WAS DIAGNOSIS GIVEN.</t>
  </si>
  <si>
    <t>009011000500</t>
  </si>
  <si>
    <t>GB004597</t>
  </si>
  <si>
    <t>WHILE THE EE WAS THROWING TRASH IN THE DUMPSTER, HE INJURED HIS BACK.</t>
  </si>
  <si>
    <t>009011000497</t>
  </si>
  <si>
    <t>GB004542</t>
  </si>
  <si>
    <t>PICKING UP BOX THAT FELL OFF THE PALLETT AND HEARD POP IN HIS BACK.</t>
  </si>
  <si>
    <t>009011000498</t>
  </si>
  <si>
    <t>GB004515</t>
  </si>
  <si>
    <t>STEAM OR HOT FLUIDS</t>
  </si>
  <si>
    <t>UNBRAZING COPPER TUBING WHEN OIL IN THE TUBING CAUGHT FIRE AND    LEAKED ONTO ARM.</t>
  </si>
  <si>
    <t>009011000501</t>
  </si>
  <si>
    <t>GB004741</t>
  </si>
  <si>
    <t>LIFTING AND PLACING COMMERCIAL FLOOR MATS IN A CART. HURT LOWER   BACK</t>
  </si>
  <si>
    <t>009011000494</t>
  </si>
  <si>
    <t>GB004330</t>
  </si>
  <si>
    <t>TIGHTENING THE DIE TO THE MACHINE AS IT STARTED TIGHTENING THE TOPOF THE DIE FLEW OUT THE MACHINE AND CUT HER BICEP.</t>
  </si>
  <si>
    <t>009011000496</t>
  </si>
  <si>
    <t>GB004569</t>
  </si>
  <si>
    <t>EE BOTH WRIST AND SHOULDERS WERE IN PAIN, DUE TO DATA ENTRY.</t>
  </si>
  <si>
    <t>009011000493</t>
  </si>
  <si>
    <t>GB004568</t>
  </si>
  <si>
    <t>SAMUEL WAS LIFTING SOMETHING AND HE FELT A SLIGHT PULL IN THE     MIDDLE OF HIS BACK AND ON THE RIGHT SIDE OF HIS BACK.</t>
  </si>
  <si>
    <t>009011000495</t>
  </si>
  <si>
    <t>GB004351</t>
  </si>
  <si>
    <t>HIS SERVICE VEHICLE WAS HIT ON THE SIDE BY ANOTHER VEHICLE THAT   FLED THE SCENE AFTER THE IMPACT.</t>
  </si>
  <si>
    <t>009011000488</t>
  </si>
  <si>
    <t>GB004302</t>
  </si>
  <si>
    <t>WORKING WITH UNDER HIS EYE AND A DOOR HEADER INSTALLATION.        COULDN'T STOP BLEEDING SO SENT TO DOCTOR</t>
  </si>
  <si>
    <t>009011000490</t>
  </si>
  <si>
    <t>GB004329</t>
  </si>
  <si>
    <t>PULLING A PALLET WITH THE PALLET JACK. HURT LEFT SHOULDER</t>
  </si>
  <si>
    <t>009011000491</t>
  </si>
  <si>
    <t>GB004263</t>
  </si>
  <si>
    <t>ROCK WAS MOVING AN OVEN TO ADD LEGS TO IT, HE TURNED AND TWISTED HIS BACK.</t>
  </si>
  <si>
    <t>009011000487</t>
  </si>
  <si>
    <t>GB004231</t>
  </si>
  <si>
    <t>BENJAMIN WAS COMING OUT OF AN AISLE ON A LIFT AND DID NOT SEE     ANOTHER CO-WORKER ON A LIFT AND THEY COLLIDED.</t>
  </si>
  <si>
    <t>009011000489</t>
  </si>
  <si>
    <t>GB004243</t>
  </si>
  <si>
    <t>HE WAS LANDING A LIFT INTO A BOX TRUCK  HOWEVER HIS TOOL BOX WAS  IN THE WAY WHILE HE WAS GRABBING THE LIFT WITH HIS LEFT HAND  HE  TRIED TO MOVE THE TOOLBOX WITH HIS RIGHT HAND. WHEN HE DRAGGED HISTOOL BOX HE FELT A SHARP PAIN IN HIS LOWER RIGHT BAC</t>
  </si>
  <si>
    <t>009011000486</t>
  </si>
  <si>
    <t>GB004155</t>
  </si>
  <si>
    <t>RUBBED OR ABRADED/ NOC</t>
  </si>
  <si>
    <t>MOVING MATERIAL ONTO A PALLETT. IT HAD RAINED AND THE MATERIAL WASSET. HE REACHED OUT TO GRAB A PIECE OF STAINLESS AND ANOTHER SHARPPIECE PUNCTURED THROUGH HIS GLOVE INTO HIS RIGHT FINGER.</t>
  </si>
  <si>
    <t>009011000485</t>
  </si>
  <si>
    <t>GB004328</t>
  </si>
  <si>
    <t>ONE BOX FELL AND HIT HIM IN THE EYE.</t>
  </si>
  <si>
    <t>009011000482</t>
  </si>
  <si>
    <t>GB004046</t>
  </si>
  <si>
    <t>JOSE STEPPED OFF OF A PALLET JACK AND FELT A SHARP PAIN IN HIS    RIGHT ANKLE.</t>
  </si>
  <si>
    <t>009011000483</t>
  </si>
  <si>
    <t>GB004326</t>
  </si>
  <si>
    <t>EE WAS LOADING TRASH WHEN HE MOVED THE PALLET JACK AND HE LOST HISBALANCE. EE FELL ON HIS LEFT LEG AND LEFT HIP. EE HAS BEEN PLACED ON LIGHT DUTY.</t>
  </si>
  <si>
    <t>009011000484</t>
  </si>
  <si>
    <t>GB004327</t>
  </si>
  <si>
    <t>Heat prostration</t>
  </si>
  <si>
    <t>FIRST DAY ON THE JOB AND WAS WORKING OUTDOORS WHEN HE STATED HE   GOT TOO HOT. DID NOT SAY ANYTHING UNTIL 7/25. ELECTED TO GO TO THEDOCTOR ON 7/30.</t>
  </si>
  <si>
    <t>009011000481</t>
  </si>
  <si>
    <t>GB004325</t>
  </si>
  <si>
    <t>A FELLOW EMPLOYEE TERRELL POWELL ACCIDENTALLY HIT NOEL'S ACHILLES WITH A HAND TRUCK</t>
  </si>
  <si>
    <t>009011000476</t>
  </si>
  <si>
    <t>GB004066</t>
  </si>
  <si>
    <t>THE EE FELL WHILE WALKING DOWN THE STAIRS. SHE FELL ON HER FACE   AND LANDED ON THE BACK.</t>
  </si>
  <si>
    <t>009011000479</t>
  </si>
  <si>
    <t>GB004324</t>
  </si>
  <si>
    <t>NO ACCIDENT - REPETITIVE INJURY</t>
  </si>
  <si>
    <t>009011000473</t>
  </si>
  <si>
    <t>GB004321</t>
  </si>
  <si>
    <t>FINGER WAS CUT BY THE CHARBROILER WHEN SALAYUTH FELL.</t>
  </si>
  <si>
    <t>009011000475</t>
  </si>
  <si>
    <t>GB004322</t>
  </si>
  <si>
    <t>THE EE WAS INVOLVED IN A VEHICULAR ACCIDENT. THE EE SUSTAINED     SPRAINS TO THE LUMBAR AREA.</t>
  </si>
  <si>
    <t>009011000472</t>
  </si>
  <si>
    <t>GB004320</t>
  </si>
  <si>
    <t>EMPLOYEE MISSED A STEP WHEN WALKING DOWN THE STAIRS AND FELL TO THE LANDING</t>
  </si>
  <si>
    <t>009011000480</t>
  </si>
  <si>
    <t>GB004045</t>
  </si>
  <si>
    <t>EE REPORTED PAIN  TINGLING AND NUMBNESS IN HER RIGHT WRIST DUE TO USE OF THE MOUSE.</t>
  </si>
  <si>
    <t>009011000471</t>
  </si>
  <si>
    <t>GB003870</t>
  </si>
  <si>
    <t>EE WAS WITH COWORKER MOVING EQUIPEMENT. WIRE BOX ON TOP OF        EQUIPMENT WAS FALLING AND EE CAUGHT IT AND RECEIVED A LACERATION.</t>
  </si>
  <si>
    <t>009011000470</t>
  </si>
  <si>
    <t>GB004065</t>
  </si>
  <si>
    <t>EE WAS CUTTING PLASTIC TUBING AND CUT HIS FINGER WITH A BLADE.</t>
  </si>
  <si>
    <t>009011000477</t>
  </si>
  <si>
    <t>GB004323</t>
  </si>
  <si>
    <t>EMPLOYEE BENT DOWN TO PICK UP A CASE OF CHINA AND STRAINED HIS LOWER BACK</t>
  </si>
  <si>
    <t>009011000469</t>
  </si>
  <si>
    <t>GB004064</t>
  </si>
  <si>
    <t>MATT WAS REMOVING SHRINK WRAP FROM A PALLET CONTAINING WALK IN    PANELS. WHILE PERFORMING THIS TASK HE RUBBED HIS UPPER ARM ACROSS A SHARP EDGE OF ONE OF THE PANELS CAUSING A LACERATION.</t>
  </si>
  <si>
    <t>WCD40071T0</t>
  </si>
  <si>
    <t>009011000452</t>
  </si>
  <si>
    <t>GB003447</t>
  </si>
  <si>
    <t>EE ALLEGES THAT HE WAS WRAPPING A PALLET, WHEN HE INJURED HIS BACK.</t>
  </si>
  <si>
    <t>009011000454</t>
  </si>
  <si>
    <t>GB003317</t>
  </si>
  <si>
    <t>WHILE WALKING PAST A DUMPSTER AT A JOB SITE  THE EE'S LEFT CORNEA WAS SCRATCHED BY DIRT OR DUST.</t>
  </si>
  <si>
    <t>009011000455</t>
  </si>
  <si>
    <t>GB003335</t>
  </si>
  <si>
    <t>EMPLOYEE WAS CUTTING BANDING WITH CLIPPERS AND BANDING SLICED     ACROSS HIS RIGHT FOREARM</t>
  </si>
  <si>
    <t>009011000458</t>
  </si>
  <si>
    <t>GB003706</t>
  </si>
  <si>
    <t>EMPLOYEE WAS PULLING A PALLET JACK WITH A LOAD AND SPRAINED HIS   UPPER BACK AND SHOULDER</t>
  </si>
  <si>
    <t>009011000446</t>
  </si>
  <si>
    <t>GB003432</t>
  </si>
  <si>
    <t>BECAUSE IT WAS TOP-HEAVY  THE UNIT FELL ON ITS SIDE AND FELL ONTO ARMANDO.</t>
  </si>
  <si>
    <t>009011000459</t>
  </si>
  <si>
    <t>GB003411</t>
  </si>
  <si>
    <t>LIFTING AN ICE MACHINE</t>
  </si>
  <si>
    <t>009011000438</t>
  </si>
  <si>
    <t>GB003128</t>
  </si>
  <si>
    <t>BLADE FROM EQUIPMENT FELL OFF TABLE  EMPLOYEE TRIED TO CATCH THE  BLADE AND IT SLICED HIS FINGER</t>
  </si>
  <si>
    <t>009011000443</t>
  </si>
  <si>
    <t>GB003188</t>
  </si>
  <si>
    <t>FACING DRIVER-SIDE OF VAN  EE STEPPED ONTO STEP UP INTO THE VAN   AND REACHED OVER TO THE PASSENGER SIDE TO RETRIEVE TOOL WHEN FOOT SLIPPED OUT BACKWARDS.</t>
  </si>
  <si>
    <t>009011000435</t>
  </si>
  <si>
    <t>GB003627</t>
  </si>
  <si>
    <t>SLIP OR TRIP, DID NOT FALL</t>
  </si>
  <si>
    <t>EMPLOYEE LOST HIS FOOTING AND TWISTED HIS ANKLE WHILE TRYING TO ENTER THE TRUCK FROM THE SIDE RAMP</t>
  </si>
  <si>
    <t>009011000439</t>
  </si>
  <si>
    <t>GB003145</t>
  </si>
  <si>
    <t>DAVID WAS GOING DOWN THE STAIRS AT LUXE BURGER IN PROVIDENCE. HIS HAND TRUCK WAS STUCK ON THE STEP  HE MOVED TO FREE IT UP AND      INJURED HIS BACK IN DOING SO.</t>
  </si>
  <si>
    <t>009011000431</t>
  </si>
  <si>
    <t>GB003070</t>
  </si>
  <si>
    <t>THE EMPLOYEE WAS HANGING A SHELF AND MOVED IT TO BE UP HIGHER AND HE WALKED INTO THE CORNER CUTTING HIS FOREHEAD ABOVE RIGHT EYE.   EMPLOYEE SOUGHT MEDICAL TREATMENT AND WAS GIVEN STITCHES.</t>
  </si>
  <si>
    <t>009011000440</t>
  </si>
  <si>
    <t>GB003146</t>
  </si>
  <si>
    <t>EMPLOYEE FELL FROM THE BACK STAIR OF THE TRUCK ONTO HIS ARM.</t>
  </si>
  <si>
    <t>009011000478</t>
  </si>
  <si>
    <t>GB004068</t>
  </si>
  <si>
    <t>Mental stress</t>
  </si>
  <si>
    <t>THE EE EXPERIENCED WORK RELATED ANXIETY/ANXIETY ATTACKS BEFORE ANDDURING HER SHIFT DUE TO THE WORK ATMOSPHERE. THE EE STATES THAT   THIS BEGAN AFTER SHE WAS TRANSFERRED TO THE FINANCE DEPARTMENT.</t>
  </si>
  <si>
    <t>009011000432</t>
  </si>
  <si>
    <t>GB003071</t>
  </si>
  <si>
    <t>PULLING A PIZZA OVEN</t>
  </si>
  <si>
    <t>009011000430</t>
  </si>
  <si>
    <t>GB003626</t>
  </si>
  <si>
    <t>WHEN EMPLOYEE TRIED TO STAND UP  EMPLOYEE FELT HARD PAIN IN THE   LOWER BACK.</t>
  </si>
  <si>
    <t>009011000425</t>
  </si>
  <si>
    <t>GB003625</t>
  </si>
  <si>
    <t>TABLE FELL ON EMPLOYEE'S HAND.</t>
  </si>
  <si>
    <t>009011000426</t>
  </si>
  <si>
    <t>GB002999</t>
  </si>
  <si>
    <t>DURING A KITCHEN INSTALL RICH REACHED OVERHEAD TO CUT OFF A ZIP   TIE FROM THE COMPRESSOR CORD. KNIFE ENDED UP CUTTING HIS FINGER.</t>
  </si>
  <si>
    <t>009011000419</t>
  </si>
  <si>
    <t>GB002887</t>
  </si>
  <si>
    <t>THE EMPLOYEE WAS CUTTING ROPE THAT BANDS BROOMS TOGETHER AND      SLIPPED WITH THE BOX CUTTER INJURING 3 FINGERS.</t>
  </si>
  <si>
    <t>009011000420</t>
  </si>
  <si>
    <t>GB002998</t>
  </si>
  <si>
    <t>JOEL WAS HELPING ANOTHER WORKER PICK UP A BROKEN PALLET AND       STEPPED ON A NAIL. THE NAIL PUNCTURED HIS SNEAKER AND LEFT FOOT.</t>
  </si>
  <si>
    <t>009011000427</t>
  </si>
  <si>
    <t>GB003030</t>
  </si>
  <si>
    <t>THE EE REPORTED SUSTAINING NUMBNESS TO HER RIGHT ARM WHILE USING  HER MOUSE.</t>
  </si>
  <si>
    <t>009011000414</t>
  </si>
  <si>
    <t>GB003187</t>
  </si>
  <si>
    <t>BROKEN GLASS</t>
  </si>
  <si>
    <t>RYON WAS DRIVING A REACH TRUCK WHEN HE STRUCK A  I  BEAM NEAR THE CHARGING STATION. THE IMPACT THREW HIM INTO THE TEMPERED GLASS    WHICH CUT HIS FOREHEAD AND NECK. HE WAS BLEEDING BADLY  911 WAS   CALLED. HE SAID HE TRYING TO AVOID AN OBJECT ON THE</t>
  </si>
  <si>
    <t>009011000453</t>
  </si>
  <si>
    <t>GB003316</t>
  </si>
  <si>
    <t>INSTALLING AND SMASHED FINGER</t>
  </si>
  <si>
    <t>009011000404</t>
  </si>
  <si>
    <t>GB002763</t>
  </si>
  <si>
    <t>THE EE WAS LIFTING A BOX WHEN HE STRAINED A MUSCLE IN HIS LOWER   BACK.</t>
  </si>
  <si>
    <t>009011000400</t>
  </si>
  <si>
    <t>GB002715</t>
  </si>
  <si>
    <t>EMPLOYEE TWISTED HIS KNEE WHEN STEPPING OFF OF HIS TRUCK.</t>
  </si>
  <si>
    <t>009011000406</t>
  </si>
  <si>
    <t>GB002790</t>
  </si>
  <si>
    <t>THE EE WAS OPERATING A VEHICLE AND THE VEHICLE STRUCK A POTHOLE.  HE DID NOT EXPERIENCE PAIN INITIALLY  HOWEVER  HE EXPERIENCED PAININ HIS LOWER BACK WHEN HE GOT HOME.</t>
  </si>
  <si>
    <t>009011000415</t>
  </si>
  <si>
    <t>GB002997</t>
  </si>
  <si>
    <t>THE EE WAS PULLING PRODUCT UP THE STAIRS  WHEN HE SUSTAINED A     STRAIN TO HIS LOWER BACK.</t>
  </si>
  <si>
    <t>009011001071</t>
  </si>
  <si>
    <t>GB005886</t>
  </si>
  <si>
    <t>EMPLOYEE SQUATTED DOWN TO PICK UP METAL PANELS ON TH                  FLOOR. WHEN HE WENT TO LIFT HE INJURED HIS UPPER BACK.</t>
  </si>
  <si>
    <t>009011000395</t>
  </si>
  <si>
    <t>GB002583</t>
  </si>
  <si>
    <t>ALAN CUT HIS FINGER ON THE EDGE OF A STAINLESS STEEL ABLE WHILE   TRYING TO MOVE IT.</t>
  </si>
  <si>
    <t>009011000393</t>
  </si>
  <si>
    <t>GB002582</t>
  </si>
  <si>
    <t>CARRYING TOOLS INTO BUILDING AND TRIPPED OVER CURB AND FELL+</t>
  </si>
  <si>
    <t>TM1702</t>
  </si>
  <si>
    <t>009011000410</t>
  </si>
  <si>
    <t>GB002820</t>
  </si>
  <si>
    <t>BUILDING CRATE AND SPLINTER ENTERED HIS FOREARM.</t>
  </si>
  <si>
    <t>009011000398</t>
  </si>
  <si>
    <t>GB002725</t>
  </si>
  <si>
    <t>EMPLOYEE DROPPED METAL WATER BOTTLE ON RIGHT FOOT</t>
  </si>
  <si>
    <t>009011000392</t>
  </si>
  <si>
    <t>GB002581</t>
  </si>
  <si>
    <t>MVA-HIT ON DRIVER SIDE AT INTERSECTION</t>
  </si>
  <si>
    <t>009011000385</t>
  </si>
  <si>
    <t>GB002859</t>
  </si>
  <si>
    <t>THE EE WAS WALKING UP THE STEPS WHEN HE TRIPPED AND CAUGHT HIS</t>
  </si>
  <si>
    <t>009011000380</t>
  </si>
  <si>
    <t>GB002434</t>
  </si>
  <si>
    <t>EMPLOYEE DROPPED A LARGE FILE FOLDER AND AS SHE WAS ATTEMPTING TO CATCH IT IN MIDAIR HER FINGERNAIL POPPED OFF</t>
  </si>
  <si>
    <t>009011000503</t>
  </si>
  <si>
    <t>GB004919</t>
  </si>
  <si>
    <t>OTHER DRIVER HIT FROM BEHIND</t>
  </si>
  <si>
    <t>009011000375</t>
  </si>
  <si>
    <t>GB002370</t>
  </si>
  <si>
    <t>AS THE EE WAS STEPPING DOWN FROM A PALLET JACK  AND HIS RIGHT KNEEBENT THE WRONG WAY. THE EE SUSTAINED A TORN PATELLA TENDON.</t>
  </si>
  <si>
    <t>009011000377</t>
  </si>
  <si>
    <t>GB002393</t>
  </si>
  <si>
    <t>KEITH WAS CUTTING A ROD AND A PIECE OF METAL WENT INTO IS LEFT    EAR.</t>
  </si>
  <si>
    <t>009011000376</t>
  </si>
  <si>
    <t>GB002433</t>
  </si>
  <si>
    <t>EE AND COWORKERS WERE LIFTING REFRIGERATOR DISPLAY CASE FROM      WEHEELED TO TAILGATE OF PICKUP TRUCK. AS EE LIFTED EQUIPMENT  FELTSHARP PAIN IN NECK AND UPPER BACK. EE REPORTED AND CONT WORKING   AND WORK UP NEXT MORNING WITH SIGNIFICANT BACK  NECK</t>
  </si>
  <si>
    <t>009011000372</t>
  </si>
  <si>
    <t>GB002319</t>
  </si>
  <si>
    <t>WHILE LOADING A TRUCK  THE TRUCK SLID ON THE SNOW CAUSING THE DOCKPLATE TO FALL OFF THE REAR OF THE TRUCK. THIS CAUSED THE JACK TO  STOP AND ERIC FELL FORWARD ONTO THE PALLET GUARD. THE TRUCK WAS   NOT CHOCKED. ERIC HIT HIS RIBS AND SCRAPED HIS ARM</t>
  </si>
  <si>
    <t>009011000373</t>
  </si>
  <si>
    <t>GB002369</t>
  </si>
  <si>
    <t>WILLIAM STEPPED ONTO A PALLET IN THE BACK OF HIS TRUCK WHILE      LOOKING FOR A PRODUCT. HE TWISTED HIS KNEE BUT DID NOT THINK MUCH OF IT. CONTINUED TO MONITOR THE SWELLING AND IT BECAME WORSE</t>
  </si>
  <si>
    <t>009011000371</t>
  </si>
  <si>
    <t>GB002307</t>
  </si>
  <si>
    <t>EMPLOYEE TRIPPED OVER CARDBOARD STACKED ON THE FORKLIFT FORKS AND HIT THE SIDE OF HIS HEAD ON A PALLET JACK HANDLE</t>
  </si>
  <si>
    <t>009011000379</t>
  </si>
  <si>
    <t>GB002403</t>
  </si>
  <si>
    <t>HELPING LIFT A REFRIGERATOR FROM ROUGHLY A 45 DEGREE ANGLE UPRIGHTIN ORDER TO GET IT THROUGH A DOORWAY</t>
  </si>
  <si>
    <t>009011000369</t>
  </si>
  <si>
    <t>GB002392</t>
  </si>
  <si>
    <t>THE EMPLOYEE STEPPED OUT OF HIS TRUCK AND SAID HE FELT SOMETHING  IN HIS FOOT. HE FELT PAIN FROM THE CENTER OF HIS FOOT UP TOWARD   HIS ANKLE. HE WENT TO CONCENTRA WAS TOLD HE HAD A SPRAINED        LIGAMENT. FOOT DID NOT ROLL.</t>
  </si>
  <si>
    <t>009011000367</t>
  </si>
  <si>
    <t>GB002257</t>
  </si>
  <si>
    <t>BENDING OVER AND HANDED A COWORKER A TOOL AND A SHARP PAIN SHOT   THROUGH BACK</t>
  </si>
  <si>
    <t>009011000370</t>
  </si>
  <si>
    <t>GB002296</t>
  </si>
  <si>
    <t>WHILE SETTING THE BASE FRYER UNIT ON THE PALLET  AND PROPERLY     SQUATTING DOWN. I FELT A TWITCH IN MY LOWER BACK.</t>
  </si>
  <si>
    <t>009011000362</t>
  </si>
  <si>
    <t>GB002177</t>
  </si>
  <si>
    <t>CUTTING CARDBOARD WITH A BOX KNIFE AND CUT THE TIP OF THUMB</t>
  </si>
  <si>
    <t>009011000365</t>
  </si>
  <si>
    <t>GB002214</t>
  </si>
  <si>
    <t>JORGE FELT A STRAIN IN HIS RIGHT WRIST WHILE LOADING A STOVE INTO A VAN. THERE WERE 2 OTHER PEOPLE ASSISTING HIM.</t>
  </si>
  <si>
    <t>009011000355</t>
  </si>
  <si>
    <t>GB002131</t>
  </si>
  <si>
    <t>EE WAS INVOLVED IN AN AUTO INCIDENT IN WHICH THE VEH STRUCK A     TREE  RESULTING IN PAIN TO HIS LOWER AND MIDDLE BACK.</t>
  </si>
  <si>
    <t>009011000352</t>
  </si>
  <si>
    <t>GB002123</t>
  </si>
  <si>
    <t>EMPLOYEE DID NOT SEE A PIECE OF WOOD WITH A NAIL IN IT ON TRUCK   AND STEPPED ON THE NAIL  WHICH WENT THROUGH HIS BOOT AND PUNCTUREDHIS FOOT</t>
  </si>
  <si>
    <t>009011000359</t>
  </si>
  <si>
    <t>GB002256</t>
  </si>
  <si>
    <t>EE WAS INVOLVED IN A CAR ACCIDENT.</t>
  </si>
  <si>
    <t>009011000368</t>
  </si>
  <si>
    <t>GB002258</t>
  </si>
  <si>
    <t>MOVING SOME BOXES FROM ONE PLACE TO ANOTHER AND STRAINED BACK</t>
  </si>
  <si>
    <t>009011000350</t>
  </si>
  <si>
    <t>GB002255</t>
  </si>
  <si>
    <t>WHILE THE EE WAS USING A HAND TRUCK  IT SLIPPED OUT OF            HIS HAND                                                          CAUSING HIM TO FALL. HE HIT HIS HEAD ON THE LOADING DOCK.         HE</t>
  </si>
  <si>
    <t>009011000348</t>
  </si>
  <si>
    <t>GB002886</t>
  </si>
  <si>
    <t>CLOSING DOCK DOOR.  ROPE ATTACHED TO DOOR WRAPPED AROUND HER RIGHTANKLE CAUSING HER TO FALL</t>
  </si>
  <si>
    <t>009011000344</t>
  </si>
  <si>
    <t>GB001966</t>
  </si>
  <si>
    <t>EMPLOYEE WAS MOVING CARTONS ONTO A PALLET OF DELIVERED FREIGHT. HESTRAINED HIS LOWER BACK.</t>
  </si>
  <si>
    <t>009011000342</t>
  </si>
  <si>
    <t>GB001965</t>
  </si>
  <si>
    <t>DOOR SLIPPED IN NARROW WALKWAY</t>
  </si>
  <si>
    <t>009011000411</t>
  </si>
  <si>
    <t>GB002996</t>
  </si>
  <si>
    <t>WAS WALKING ON SNOW COVERED SIDEWALK AND DID NOT SEE THE UNEVEN   SPOT DUE TO THE SNOW.  ROLLED ANKLE AND LANDED ON LEFT SHOULDER.  400038826</t>
  </si>
  <si>
    <t>009011000338</t>
  </si>
  <si>
    <t>GB001953</t>
  </si>
  <si>
    <t>THE EMPLOYEE WAS PICKING ITEMS AND GRABBED A BOX ABOVE HIS HEAD   THAT HAD A LOOSE LID. SINCE HE COULD NOT SEE THE LID IS SLID OFF  OF THE BOX AND HIT IN HIM IN THE RIGHT UPPER CHEEK. THE LID ALSO  BROKE HIS GLASSES  CUT AND BRUISED HIS FACE.</t>
  </si>
  <si>
    <t>009011000345</t>
  </si>
  <si>
    <t>GB001969</t>
  </si>
  <si>
    <t>EE ALLEGES THAT WHILE CLIMBING OUT OF A TRUCK AT THE JOB SITE  HISFOOT SLIPPED OFF THE BOTTOM STEP  CAUSING HIS RIGHT LEG TO JAM.EE HAS A PRE EXISTING INJURY IN LEG BUT IT WAS AGGRAVATED BY THIS    INCIDENT. EE IS NOW HAVING PAIN IN RIGHT KNEE AND BA</t>
  </si>
  <si>
    <t>009011000335</t>
  </si>
  <si>
    <t>GB001937</t>
  </si>
  <si>
    <t>CHARLES WAS TAKING A BOX OFF A HIGH SHELF. A PLATE THAT WAS ON TOPOF THE BOX FELL OFF AND CUT HIM UNDERNEATH HIS LEFT EYE.</t>
  </si>
  <si>
    <t>009011000334</t>
  </si>
  <si>
    <t>GB001949</t>
  </si>
  <si>
    <t>WALKING THROUGH THE OFFICE AREA AND TRIPPED OVER A BOX OF COPY PAPER, FALLING TO THE FLOOR AND LANDING ON KNEE</t>
  </si>
  <si>
    <t>009011000336</t>
  </si>
  <si>
    <t>GB001986</t>
  </si>
  <si>
    <t>THE EE WAS MOVING PRODUCT DOWN THE STAIRS OF A CUSTOMER. HE SLIPPED AND FELL. THE EE DX: SPRAINED THERIGHT ANKLE.</t>
  </si>
  <si>
    <t>009011000333</t>
  </si>
  <si>
    <t>GB001929</t>
  </si>
  <si>
    <t>EMPLOYEE SLIPPED ON ICE WALKING TO BACK OF TRUCK</t>
  </si>
  <si>
    <t>009011000323</t>
  </si>
  <si>
    <t>GB001912</t>
  </si>
  <si>
    <t>THE EE WAS SLIDING DOORS ON A WALK IN COOLER. WHEN HE LIFTED THEM TO PUT THEM ON THE TRACK HE FELT A PULLING SENSATION ON THE RIGHT SIDE OF HIS NECK AND SHOULDER OR UPPER ARM AREA. THE EE WAS       DIAGNOSED WITH MUSCLE STRAIN.</t>
  </si>
  <si>
    <t>009011000326</t>
  </si>
  <si>
    <t>GB001920</t>
  </si>
  <si>
    <t>Hernia</t>
  </si>
  <si>
    <t>EMPLOYEE SLIPPED WHILE WALKING DOWN THE FLIGHT OF STAIRS. ICY AND SNOW ON STEPS MAY HAVE CAUSED EMPLOYEE TO SLIP.</t>
  </si>
  <si>
    <t>ST0306</t>
  </si>
  <si>
    <t>STRATEGIC EQUIP LLC-RENO</t>
  </si>
  <si>
    <t>009011000332</t>
  </si>
  <si>
    <t>GB001936</t>
  </si>
  <si>
    <t>ROLLING A REFRIDGERATOR ONTO ITS SIDE AND HE FELT  A PULL/STRAIN  IN HIS LOWER BACK.</t>
  </si>
  <si>
    <t>009011000307</t>
  </si>
  <si>
    <t>GB001833</t>
  </si>
  <si>
    <t>INJURY:EE WAS STACKING BOXES. WHEN HE LOOKED AWAY A BOX SLID      STRUCK HIM                                                        AND LACERATED THE CORNEA OF HIS LEFT EYE.</t>
  </si>
  <si>
    <t>009011000310</t>
  </si>
  <si>
    <t>GB001834</t>
  </si>
  <si>
    <t>LIFTING EQUIPMENT. A GRIND MASTER LIFTING IT ONTO A TABLE LIFT. HE WAS IN PROCESS OF PICKING UP OTHER SIDE AND HE HURT HIS BACK.</t>
  </si>
  <si>
    <t>009011000311</t>
  </si>
  <si>
    <t>GB001803</t>
  </si>
  <si>
    <t>STEVE WAS FILING AND STRAINED HIS BACK BY REACHING TO THE LOWER DRAWERS</t>
  </si>
  <si>
    <t>009011000304</t>
  </si>
  <si>
    <t>GB001797</t>
  </si>
  <si>
    <t>INJURY:EE WAS MOVING PRODUCT INSIDE HIS TRUCK WHEN HE FELL DOWN INJURING</t>
  </si>
  <si>
    <t>009011000308</t>
  </si>
  <si>
    <t>GB001802</t>
  </si>
  <si>
    <t>INJURY:A PALLET WAS STANDING ON EDGE AND FELL OVER ONTO SHIN      CAUSING A                                                         CONTUSION AND ABRASION</t>
  </si>
  <si>
    <t>009011000303</t>
  </si>
  <si>
    <t>GB001778</t>
  </si>
  <si>
    <t>INJURY:AN EMPLOYEE WAS DRIVING A FORKLIFT AND APPROACHED DAVID.   THE                                                               EMPLOYEE STOPPED THE MOTION OF THE LIFT WHEN HE ELEVATED FORKS OF THE LIFT WERE AT DAVID'S FEET. THE EMPLOYEE THOUGHT</t>
  </si>
  <si>
    <t>009011000358</t>
  </si>
  <si>
    <t>GB002139</t>
  </si>
  <si>
    <t>WHILE MAKING A DELIVERY, THE EE ATTEMPTED TO OPEN A GATE WHILE PULLING A HAND TRUCK AND INJURED HIS LEFT SHOULDER.</t>
  </si>
  <si>
    <t>009011000290</t>
  </si>
  <si>
    <t>GB001770</t>
  </si>
  <si>
    <t>INJURY:USING COMPUTER AND MOUSE - RIGHT WRIST</t>
  </si>
  <si>
    <t>009011000288</t>
  </si>
  <si>
    <t>GB001753</t>
  </si>
  <si>
    <t>INJURY:EMPLOYEE WAS ASSEMBLING SOLID STEEL RACKS WHEN THE TOP     SHELF SLID                                                        DOWN STRIKING HIS RIGHT HAND. HIS HAND WAS CAUGHT BETWEEN THE TWO SHELVES</t>
  </si>
  <si>
    <t>009011000284</t>
  </si>
  <si>
    <t>GB001735</t>
  </si>
  <si>
    <t>INJURY:STRAINED LOWER BACK WHILE STACKING BOXES ONTO A CART</t>
  </si>
  <si>
    <t>009011000292</t>
  </si>
  <si>
    <t>GB001758</t>
  </si>
  <si>
    <t>WHILE THE EE WAS AT A RED LIGHT  HIS VEHICLE WAS REAR ENDED. THE  EE SUSTAINED A STRAIN TO THE LOWER BACK AND NECK.</t>
  </si>
  <si>
    <t>009011000360</t>
  </si>
  <si>
    <t>GB002143</t>
  </si>
  <si>
    <t>EMPLOYEE WAS MOVING A 61LB MICROWAVE TO A PALLETT. HE FELL AND    POPPED HIS RIGHT SHOULDER CAUSING PAIN  AND TINGLING</t>
  </si>
  <si>
    <t>009011000286</t>
  </si>
  <si>
    <t>GB001744</t>
  </si>
  <si>
    <t>INJURY: EMPLOYEE WAS CLEANING UNDER COFFEE MACHINE  WHEN A PIECE  OF METAL                                                          CUT THE TOP OF HER HAND.</t>
  </si>
  <si>
    <t>009011000279</t>
  </si>
  <si>
    <t>GB001724</t>
  </si>
  <si>
    <t>INJURY LISTED:MISSED BOTTOM STEP BECAUSE IT WAS MISSING TREADS.   FELL FORWARD.</t>
  </si>
  <si>
    <t>009011000280</t>
  </si>
  <si>
    <t>GB001725</t>
  </si>
  <si>
    <t>LISTED INJURY: PULLING OUT A PALLET</t>
  </si>
  <si>
    <t>009011000273</t>
  </si>
  <si>
    <t>GB001712</t>
  </si>
  <si>
    <t>*SHE PRESSED HER BODY INTO THE BOX TO HOLD THE BOX WHILE SHE TAPEDIT SHUT.</t>
  </si>
  <si>
    <t>009011000274</t>
  </si>
  <si>
    <t>GB001723</t>
  </si>
  <si>
    <t>UNKNOWN</t>
  </si>
  <si>
    <t>009011000289</t>
  </si>
  <si>
    <t>GB001769</t>
  </si>
  <si>
    <t>EE WAS PULLING A HAND TRUCK UPSTAIRS WHEN HE FELT PAIN TO         HIS                                                               BACK.</t>
  </si>
  <si>
    <t>009011000269</t>
  </si>
  <si>
    <t>GB001665</t>
  </si>
  <si>
    <t>*JAMIE WAS PICKING AN ORDER IN AISLE 7. AS HE REACHED DOWN TO PICKUP THE CASE OF TOWELS  HE FELT A STRAIN ON HIS ELBOW.</t>
  </si>
  <si>
    <t>009011000266</t>
  </si>
  <si>
    <t>GB001662</t>
  </si>
  <si>
    <t>INTO OPENINGS</t>
  </si>
  <si>
    <t>*ROBERT WAS WALKING AROUND A PRODUCT THAT WAS ON THE DOCK PLATE.  THERE WAS A GAP BETWEEN THE LIFT GATE AND THE DOCK PLATE. WHEN    ROBERT STEPPED HIS RIGHT LEG FELL IN BETWEEN THE DOCK PLATE AND   THE LIFT GATE.</t>
  </si>
  <si>
    <t>009011000270</t>
  </si>
  <si>
    <t>GB001674</t>
  </si>
  <si>
    <t>EE WAS WORKING UNDERNEATH EQUIPMENT WHEN DEBRIS FELL ONTO HIS FACEAND INTO HIS LEFT EYE UNDER THE SAFETY GLASSES. THIS RESULTED IN ADX CORNEAL ABRASION TO THE EYE.</t>
  </si>
  <si>
    <t>009011000260</t>
  </si>
  <si>
    <t>GB001636</t>
  </si>
  <si>
    <t>*ONE OF THE SINKS WAS SLIDING OFF THE CART SO HAROLD PUT HIS RIGHTARM OUT TO CATCH IT. THE EDGES OF THE SINK CUT INTO HIS FOREARM   AND BASE OF HIS THUMB.</t>
  </si>
  <si>
    <t>009011000261</t>
  </si>
  <si>
    <t>GB001637</t>
  </si>
  <si>
    <t>*WHILE DOING A DELIVERY   OZ  WAS MOVING A 1000 LBS PALLET OF A   THE TRUCK WITH HIS HELPER PENI LATU. THEY HAD DONE THIS MANY TIMESBEFORE BUT THIS TIME THE TRUCK WAS PARKED AT AN ANGLE SO WHEN IT  CAME OUT  IT SHIFTED AND TO STOP IT FROM FALLING OVE</t>
  </si>
  <si>
    <t>009011000258</t>
  </si>
  <si>
    <t>GB001626</t>
  </si>
  <si>
    <t>HINGE ON PANINI GRILL WAS BROKEN AND CAME DOWN ON NIKHIL'S THUMB</t>
  </si>
  <si>
    <t>009011000259</t>
  </si>
  <si>
    <t>GB001632</t>
  </si>
  <si>
    <t>LOOSENING AN OIL RETURN LINE ON A DEEP FRYER WHEN HIS ARM WAS CUT BY A STAINLESS STEEL PANEL ON THE INSIDE OF THE FRYER</t>
  </si>
  <si>
    <t>TM0301</t>
  </si>
  <si>
    <t>TRIMARK RAYGAL</t>
  </si>
  <si>
    <t>009011000291</t>
  </si>
  <si>
    <t>GB001768</t>
  </si>
  <si>
    <t>INJURY:LIFTING TABLES</t>
  </si>
  <si>
    <t>009011000254</t>
  </si>
  <si>
    <t>GB001617</t>
  </si>
  <si>
    <t>AS THE WIRE CAME FREE HIS HAND CAUGHT THE METAL CLIPS IN THE      CONTROL PANEL.  CUT MIDDLE  PINKY AND RING FINGER OF RIGHT HAND.</t>
  </si>
  <si>
    <t>009011000263</t>
  </si>
  <si>
    <t>GB001639</t>
  </si>
  <si>
    <t>*ASSOCIATE WAS LOADING A TRUCK. HIS MACHINE GOT STUCK IN A PALLET AND TRIED TO SIMULTANEOUSLY HOLD THE PALLET DOWN WITH HIS FOOT.   THE MACHINE ROLLED ON TO HIS RIGHT FOOT AND PINCHED THE SIDE OF   HIS FOOT.</t>
  </si>
  <si>
    <t>009011000253</t>
  </si>
  <si>
    <t>GB001614</t>
  </si>
  <si>
    <t>LEROY WAS MOVING 150 LB. EQUIPMENT WITH DOLLY. HE PULLED BACK THE DOLLY AND USED HIS LEFT LEG TO PUSH THE BOTTOM OF THE DOLLY       FORWARD. HE SAID HE FELT HIS KNEE  POP .</t>
  </si>
  <si>
    <t>009011000250</t>
  </si>
  <si>
    <t>GB001606</t>
  </si>
  <si>
    <t>PUSHING A CART THAT WAS TOO HEAVY</t>
  </si>
  <si>
    <t>009011000287</t>
  </si>
  <si>
    <t>GB001752</t>
  </si>
  <si>
    <t>INJURY:MANUALLY HANDLING THE BOTTOM OF A REFRIGERATOR AND CUT THE 2ND AND                                                           3RD FINGERS ON HIS RIGHT HAND</t>
  </si>
  <si>
    <t>009011000248</t>
  </si>
  <si>
    <t>GB001599</t>
  </si>
  <si>
    <t>EE WAS STRAPPING IN A TRUCK LOAD WHEN HE WAS STRUCK ON THE TOP OF HIS HEAD BY A STRAP BUCKLE THAT FELL FROM A TALL BOX. EE IS       EXPERIENCING A HEADACHE AND DIZZINESS.</t>
  </si>
  <si>
    <t>009011000246</t>
  </si>
  <si>
    <t>GB001586</t>
  </si>
  <si>
    <t>THE EMPLOYEE WAS DRIVING A PALETTE JACK AND THE MACHINE STOPPED SUDDENLY. THE UNEXPECTED STOP CAUSED THE EMPLOYEE TO PULL A MUSCLE</t>
  </si>
  <si>
    <t>TM0801</t>
  </si>
  <si>
    <t>TRIMARK ROBERT CLARK</t>
  </si>
  <si>
    <t>009011000241</t>
  </si>
  <si>
    <t>GB001585</t>
  </si>
  <si>
    <t>*EE WAS LIFTING A REFRIGERATOR OUT OF A BAR AREA AND INJURED HIS  LEFT BICEP.  EE INCURRED A DX RUPTURE OF LEFT BICEP TENDON.</t>
  </si>
  <si>
    <t>009011000249</t>
  </si>
  <si>
    <t>GB001625</t>
  </si>
  <si>
    <t>THE EMPLOYEE HAD BEEN WRAPPING PALETTES ALL WEEK AND STRAINED HIS BACK.</t>
  </si>
  <si>
    <t>009011000247</t>
  </si>
  <si>
    <t>GB001598</t>
  </si>
  <si>
    <t>EE WAS INSIDE OF THE WAREHOUSE WALKING  WHEN SHE TRIPPED AND FELL.EE SUSTAINED A CONTUSION TO THE LEFT AND RIGHT SHIN  AND HER RIGHTANKLE IS SWOLLEN.</t>
  </si>
  <si>
    <t>009011000240</t>
  </si>
  <si>
    <t>GB001596</t>
  </si>
  <si>
    <t>*EE WAS CARRYING A COMPRESSOR AND IT DROOPED ON HIS LEFT THUMB. DXIS STRAIN OF LEFT HAND.</t>
  </si>
  <si>
    <t>009011000243</t>
  </si>
  <si>
    <t>GB001597</t>
  </si>
  <si>
    <t>STANDING ON STAINLESS STEEL TABLE WITH WET FEET INSTALLING        SHELVING WHEN FOOT SLIPPED AND FELL FROM TABLE TO FLOOR.</t>
  </si>
  <si>
    <t>009011000239</t>
  </si>
  <si>
    <t>GB001579</t>
  </si>
  <si>
    <t>WHILE MOVING A STAINLESS STEEL COUNTER FROM A LIFT JACK TO A      DOLLY  THE COUNTER FELL ONTO THE EE LEFT HAND  CAUSING A          CONTUSION.</t>
  </si>
  <si>
    <t>009011001083</t>
  </si>
  <si>
    <t>GB006404</t>
  </si>
  <si>
    <t>EMPLOYEE WAS SWEEPING FLOOR AND TURNED AND HIT FINGER             WITH CORNER OF STEEL TABLE AND CUT IT OPEN</t>
  </si>
  <si>
    <t>009011000238</t>
  </si>
  <si>
    <t>GB001589</t>
  </si>
  <si>
    <t>*THE EE IS EXPERIENCING PAIN IN THE LEFT THUMB.</t>
  </si>
  <si>
    <t>009011000236</t>
  </si>
  <si>
    <t>GB001547</t>
  </si>
  <si>
    <t>*DURING SAMPLE EVENT  A COVERED KNIFE WAS SELECTED BY JENNIFER ANDPLACED IN HER BAG. THE KNIFE COVER BROKE AND CUT THROUGH HER BAG. THE KNIFE TIP POKING OUT OF THE BAG SOMEHOW CUT HER KNEE.         086</t>
  </si>
  <si>
    <t>009011000237</t>
  </si>
  <si>
    <t>GB001548</t>
  </si>
  <si>
    <t>CEPF*EMPLOYEE WAS MOVING MATERIAL WITH THE PALLET JACK AND IT     STUCK                                                             JERKING THE OPERATOR</t>
  </si>
  <si>
    <t>009011000218</t>
  </si>
  <si>
    <t>GB001554</t>
  </si>
  <si>
    <t>HIT HEAD AND FELL LANDING ON THUMB</t>
  </si>
  <si>
    <t>009011000224</t>
  </si>
  <si>
    <t>GB001578</t>
  </si>
  <si>
    <t>*THE EE WAS REDOING A DISPLAY AND LACERATED HIS RIGHT THUMB AND   INDEX FINGER ON A JAPANESE KNIFE. THE LACERATION HAS NOW DEVELOPEDAND INFECTION.</t>
  </si>
  <si>
    <t>009011000220</t>
  </si>
  <si>
    <t>GB001577</t>
  </si>
  <si>
    <t>LEG GAVE OUT AND FELL  HIT HEAD ON SIDE OF FILING CABINET         TRIED                                                             TO BREAK FALL WITH HAND AND HURT IT</t>
  </si>
  <si>
    <t>009011000229</t>
  </si>
  <si>
    <t>GB001531</t>
  </si>
  <si>
    <t>*EMPLOYEE WAS IN A CUSTOMERS KITCHEN. THE CHEF WAS USING A BONING KNIFE TO CUT PORK BELLY. THEY WERE STANDING NEXT TO EACH OTHER    WHEN THE CHEF KNOCKED OVER A BOWL. BOTH THE EMPLOYEE AND CHEF WENTTO CATCH IT. HOWEVER  THE CHEF STILL HAD THE KNIFE I</t>
  </si>
  <si>
    <t>009011000231</t>
  </si>
  <si>
    <t>GB001595</t>
  </si>
  <si>
    <t>*THE EE WAS MOVING A GRIDDLE  WHEN HE SLIPPED  AND CUT HIS RIGHT  FOREARM ON THE SIDE OF THE GRIDDLE.</t>
  </si>
  <si>
    <t>009011000223</t>
  </si>
  <si>
    <t>GB001571</t>
  </si>
  <si>
    <t>*EMPLOYEE SAID HIS LEFT HAND PROGRESSIVELY HAS GOTTEN SORE THROUGHTHE NIGHT. HE FEELS THAT IT IS DUE TO REPETITIVE USE.</t>
  </si>
  <si>
    <t>009011000213</t>
  </si>
  <si>
    <t>GB001576</t>
  </si>
  <si>
    <t>A TABLE TOP CUT TO SIZE TO FIT THE TOP OF A LATERAL FILING        CABINET                                                           IN HIS OFFICE TO MAKE A SHELF.  WHILE PLACING THE SHELF ON THE    CABINET  IT SLIPPED OUT OF HIS HANDS AND LANDED ON H</t>
  </si>
  <si>
    <t>009011000216</t>
  </si>
  <si>
    <t>GB001569</t>
  </si>
  <si>
    <t>*ANDREW WAS LIFTING A OVER SHELF TO TAKE IT OFF THE TRUCK. WHEN HEPICKED IT UP HE FELT A POP IN HIS BACK. THE PULL WAS IN HIS UPPER LEFT BACK</t>
  </si>
  <si>
    <t>009011000262</t>
  </si>
  <si>
    <t>GB001638</t>
  </si>
  <si>
    <t>*HE WAS GRABBING AN EMPTY PALLET AND A PIECE OF WOOD SLIT HIS     FINGER</t>
  </si>
  <si>
    <t>009011000212</t>
  </si>
  <si>
    <t>GB001575</t>
  </si>
  <si>
    <t>*EE INJURED HIS BACK WHILE PULLING A HAND TRUCK UP STAIRS AT A    CUSTOMER LOCATION. DX: SPRAIN OF LIGAMENTS OF LUMBAR SPINE.</t>
  </si>
  <si>
    <t>009011000221</t>
  </si>
  <si>
    <t>GB001570</t>
  </si>
  <si>
    <t>CEPF*MEMBER WAS RETRIEVING TRASH FROM UNDER A PALETTE ON THE      FLOOR. HE DIDN'T REALIZE HIS HAND WAS CAUGHT AND THE FORCE FROM   STANDING UP CAUSED HIS WRIST TO BECOME INJURED.</t>
  </si>
  <si>
    <t>WCN40973V0</t>
  </si>
  <si>
    <t>009011000232</t>
  </si>
  <si>
    <t>GB001546</t>
  </si>
  <si>
    <t>*UNLOADING SOME EQUIPMENT FROM A TRAILER WHEN IT SLIPPED AND FELL TO THE GROUND. IT HIT ME IN THE CHEST AND PUSHED ME INTO THE TABLEBEHIND ME AND BRUISED MY BACK</t>
  </si>
  <si>
    <t>009011000361</t>
  </si>
  <si>
    <t>GB002164</t>
  </si>
  <si>
    <t>PULLING A STRAP TO TIGHTEN IT AROUND A PIECE OF EQUIPMENT. LATCH  CAME LOOSE AND EE FELL BACKWARD ON THE TRAILER HURTING HIS LEFT   HAND.</t>
  </si>
  <si>
    <t>009011000199</t>
  </si>
  <si>
    <t>GB001473</t>
  </si>
  <si>
    <t>*THE EE WAS CLIMBING INTO THE DUMPSTER TO ARRANGE ITEMS IN THE    RECYCLING BIN. HE FELL IN THE BIN. HE INJURED HIS RIGHT SHOULDER.</t>
  </si>
  <si>
    <t>009011000202</t>
  </si>
  <si>
    <t>GB001465</t>
  </si>
  <si>
    <t>*EE WAS MOVING BOXES  WHEN HE LOST HIS BALANCE  AND TWISTED HIS   LEFT KNEE  CAUSING AN INJURY.</t>
  </si>
  <si>
    <t>009011000205</t>
  </si>
  <si>
    <t>GB001506</t>
  </si>
  <si>
    <t>CEPF*TRYING TO BREAK FREE LARGE BALL VALVE THAT WAS SEIZED. I WAS IN</t>
  </si>
  <si>
    <t>009011000194</t>
  </si>
  <si>
    <t>GB001445</t>
  </si>
  <si>
    <t>*EMPLOYEE CLAIMS TO HAVE INJURED HIS KNEE WHILE INSTALLING SLIDINGDOORS.</t>
  </si>
  <si>
    <t>009011000195</t>
  </si>
  <si>
    <t>GB001446</t>
  </si>
  <si>
    <t>*EMPLOYEE CLAIMS HE WAS STANDING IN FRONT OF THE A/C UNIT IN THE  SHIPPING COORDINATOR'S OFFICE  WHEN HE FELT A SHARP PAIN IN HIS   LEFT EYE. HE STATES THAT SOMETHING FROM THE A/C UNIT FLEW INTO HISEYE.</t>
  </si>
  <si>
    <t>009011000208</t>
  </si>
  <si>
    <t>GB001481</t>
  </si>
  <si>
    <t>*UNSTACKING TWO CRATES A PIECE OF WOOD FROM THE TOP CRATE BECAME  LODGED IN HIS LEG.                                                                                                                  011</t>
  </si>
  <si>
    <t>009011000193</t>
  </si>
  <si>
    <t>GB001437</t>
  </si>
  <si>
    <t>*EMPLOYEE WAS PICKING AND THE PALETTE CAME FORWARD FROM THE       ROLLERS. THE EMPLOYEE TRIED TO STOP THE PALETTE WITH HIS LEG AND  HANDS. THE PALETTE HIT HIS KNEE.</t>
  </si>
  <si>
    <t>009011000189</t>
  </si>
  <si>
    <t>GB001436</t>
  </si>
  <si>
    <t>*EMPLOYEE STEPPED OFF OF PALETTE JACK AND TWISTED HIS KNEE.</t>
  </si>
  <si>
    <t>TM1401</t>
  </si>
  <si>
    <t>TRIMARK ST CLOUD</t>
  </si>
  <si>
    <t>009011000198</t>
  </si>
  <si>
    <t>GB001464</t>
  </si>
  <si>
    <t>*TRAINING A NEW HIRE ON THE PICKED WENT FORWARD BEFORE I COULD    ADJUST.</t>
  </si>
  <si>
    <t>009011000188</t>
  </si>
  <si>
    <t>GB001435</t>
  </si>
  <si>
    <t>*EMPLOYEE WAS MOVING A PIZZA OVEN WITH A HIGH LIFT AND HIS HAND   WAS                                                               STUCK UNDER IT.</t>
  </si>
  <si>
    <t>009011000197</t>
  </si>
  <si>
    <t>GB001455</t>
  </si>
  <si>
    <t>*TOOL SLIPPED AND CUT LEFT KNEE</t>
  </si>
  <si>
    <t>009011000186</t>
  </si>
  <si>
    <t>GB001418</t>
  </si>
  <si>
    <t>JONATHON SAID HE HAD PAIN IN HIS RIGHT UPPER THIGH FROM           PICKING INVENTORY FROM LOW LOCATIONS. HE BELIEVES HE              PULLED A MUSCLE.</t>
  </si>
  <si>
    <t>009011000187</t>
  </si>
  <si>
    <t>GB001429</t>
  </si>
  <si>
    <t>EE WAS LOADING A TRUCK WHEN A STEEL PLATE ROLLED FROM THE TRUCK   AND STRUCK THE BACK OF HIS HEAD.  HE WAS DX WITH A CONCUSSION AND A CONTUSION.</t>
  </si>
  <si>
    <t>009011000184</t>
  </si>
  <si>
    <t>GB001414</t>
  </si>
  <si>
    <t>*WHILE THE EE WAS PULLING A HAND TRUCK UP THE STEPS TO DELIVER    MERCHANDISE AT A JOB SITE  HE STRAINED HIS UPPER LEFT ARM.</t>
  </si>
  <si>
    <t>009011000182</t>
  </si>
  <si>
    <t>GB001405</t>
  </si>
  <si>
    <t>*EMPLOYEE WAS PLACING AN ORDER ON A PALLET AND HIT THE SIDE OF    THE                                                               ORDER PICKER WITH HIS FOOT. HIS SMALL TOE WAS IN PAIN</t>
  </si>
  <si>
    <t>009011000177</t>
  </si>
  <si>
    <t>GB001399</t>
  </si>
  <si>
    <t>*EMPLOYEE CUT HIS ARM ON A GLASS SHELF CORNER THAT HE WAS         INSTALLING.</t>
  </si>
  <si>
    <t>009011000178</t>
  </si>
  <si>
    <t>GB001404</t>
  </si>
  <si>
    <t>DRIVER WAS DRIVING ON ROUTE 44 IN REHOBOTH  MA. A ONCOMING VEHICLECAME INTO HIS LANE AND TOWARD THE COMPANY VEHICLE. THE EMPLOYEE   VEERED LEFT TO AVOID A HEAD ON COLLISION. THE SIDE OF THE TRUCK   WAS HIT AND SENT THE TRUCK OUT OF CONTROL.</t>
  </si>
  <si>
    <t>009011000181</t>
  </si>
  <si>
    <t>GB001400</t>
  </si>
  <si>
    <t>JUMPING OR LEAPING</t>
  </si>
  <si>
    <t>*THE EE WAS JUMPING OFF THE BACK OF A TRUCK AND SPRAINED HIS      ANKLE.</t>
  </si>
  <si>
    <t>009011000196</t>
  </si>
  <si>
    <t>GB001454</t>
  </si>
  <si>
    <t>*UNLOADING THE TRUCK. HE WAS SETTING ONE BOX OFF THE TOP OF ANOTHER WHEN HE STRAINED HIS SHOULDER</t>
  </si>
  <si>
    <t>09011000173WC01</t>
  </si>
  <si>
    <t>GB001379</t>
  </si>
  <si>
    <t>WALKING DOWN RECEIVING STAIRS KNEE POPPED</t>
  </si>
  <si>
    <t>009011000174</t>
  </si>
  <si>
    <t>GB001391</t>
  </si>
  <si>
    <t>*WHILE THE EE WAS WALKING UP AN INCLINE OF ROCKS, HE FELL. THE EE</t>
  </si>
  <si>
    <t>TM1004</t>
  </si>
  <si>
    <t>TRIMARK GILL GROUP-HAMILTON</t>
  </si>
  <si>
    <t>009011000171</t>
  </si>
  <si>
    <t>GB001403</t>
  </si>
  <si>
    <t>WESTON WAS ON HIS WAY TO THE AIRPORT IN SEATTLE  WA  TO           FLY HOME FROM A SITE VISIT.  HE WAS IN THE MIDDLE LANE            HEADING EAST BOUND  GOING 25-30 MPH.  TRAFFIC WAS SLOWING         AS THERE WAS CONGESTION AT THE MERGE ONTO I-5.</t>
  </si>
  <si>
    <t>WA</t>
  </si>
  <si>
    <t>009011000166</t>
  </si>
  <si>
    <t>GB001344</t>
  </si>
  <si>
    <t>*WHILE INSTALLING CASTER WHEELS TO EQUIPMENT  CASTER SLIPS OUT OF HAND  HITTING RIGHT SIDE OF FACE NEAR THE RIGHT EYE.</t>
  </si>
  <si>
    <t>009011000165</t>
  </si>
  <si>
    <t>GB001339</t>
  </si>
  <si>
    <t>WHILE PUSHING 200+ KITCHEN FIXTURE UP A RAMP  EMPLOYEE            STRAINED LOWER BACK AREA.</t>
  </si>
  <si>
    <t>009011000153</t>
  </si>
  <si>
    <t>GB001326</t>
  </si>
  <si>
    <t>*IBRAHIMA WAS PICKING UP 6  BOWING KNIVES AND PLACING THEM ON HIS CART. AS HE WAS PLACING THEM ONTO HIS CART ONE FELL TO THE CEMENT FLOOR AND BOUNCED UP AND PIERCED HIS LOWER RIGHT LEG. THE BOWING  KNIFE HAS A PLASTIC GUARD COVERING IT BUT THE TIP WA</t>
  </si>
  <si>
    <t>009011000157</t>
  </si>
  <si>
    <t>GB001312</t>
  </si>
  <si>
    <t>*WAS TAPING UP A BOX WHEN THE CUTTER ON THE TAPING DEVICE CUT BACKOF HAND.</t>
  </si>
  <si>
    <t>009011000158</t>
  </si>
  <si>
    <t>GB001318</t>
  </si>
  <si>
    <t>*WAS USING A CIRCULAR SAW WHEN IT KICKED BACK AND CUT UNDERNEATH  THE MIDDLE FINGER PAD UPWARDS TOWARD FINGERNAIL.</t>
  </si>
  <si>
    <t>TM1201</t>
  </si>
  <si>
    <t>009011000154</t>
  </si>
  <si>
    <t>GB001327</t>
  </si>
  <si>
    <t>*EE WAS PULLING A BOX OF FILES FROM A SHELF WHEN SHE FELT A PULL  IN                                                                HER NECK.</t>
  </si>
  <si>
    <t>009011000149</t>
  </si>
  <si>
    <t>GB001297</t>
  </si>
  <si>
    <t>WHILE MOVING PALLETIZED FREIGHT WITH AN ELECTRIC LOADER, ERIC CAUGHT HIS LEFT FOOT BETWEEN THE LIFT AND A PALLET.</t>
  </si>
  <si>
    <t>009011000141</t>
  </si>
  <si>
    <t>GB001274</t>
  </si>
  <si>
    <t>*SHOULDER BOTHERING TERESA OVERTIME (EST 1 YR) - DR REFEREED TO   PHYSICAL THERAPIST - SAID WORK RELATED  REACHING FOR KEYBOARD</t>
  </si>
  <si>
    <t>009011000144</t>
  </si>
  <si>
    <t>GB001296</t>
  </si>
  <si>
    <t>CARRYING A LARGE CONVECTION OVEN UP A FLIGHT OF STAIRS AND STRAINED SHOULDER</t>
  </si>
  <si>
    <t>009011000142</t>
  </si>
  <si>
    <t>GB001254</t>
  </si>
  <si>
    <t>*EMPLOYEE TWISTED LEFT KNEE CLIMBING OFF THE BACK OF THE          DELIVERY                                                          TRUCK</t>
  </si>
  <si>
    <t>009011000150</t>
  </si>
  <si>
    <t>GB001311</t>
  </si>
  <si>
    <t>POSSIBLY IMPROPER LIFTING OF BOXES.</t>
  </si>
  <si>
    <t>009011000138</t>
  </si>
  <si>
    <t>GB001337</t>
  </si>
  <si>
    <t>WHILE USING GRINDER POLISHING TOOL GRINDING ON METAL              WITH ORBITAL GRINDER  GRINDER LOST CONTROL  JUMPED FELL STRIKING  EMPLOYEE LEFT ARM. RECEIVED SEVERAL STITCHES.</t>
  </si>
  <si>
    <t>009011000161</t>
  </si>
  <si>
    <t>GB001338</t>
  </si>
  <si>
    <t>SO ONE PULLED ON A DROP CARD AS I WAS STEPPING OVER IT AND GOT WRAPPED AROUND MY FOOT AND SENT ME TO THE CONCRETE</t>
  </si>
  <si>
    <t>009011000137</t>
  </si>
  <si>
    <t>GB001336</t>
  </si>
  <si>
    <t>CUT TO RIGHT HAND</t>
  </si>
  <si>
    <t>009011000135</t>
  </si>
  <si>
    <t>GB001244</t>
  </si>
  <si>
    <t>*CLAIMANT ALLEGES HE SLIPPED ON ICE ON THE SIDEWALK AND FELL ONTO THE GROUND.  THE CLAIMANT HAS SUSTAINED A STRAIN TO HIS NECK,</t>
  </si>
  <si>
    <t>009011000131</t>
  </si>
  <si>
    <t>GB001224</t>
  </si>
  <si>
    <t>*DOOR SLAMMED ON LEFT HAND</t>
  </si>
  <si>
    <t>009011000129</t>
  </si>
  <si>
    <t>GB001303</t>
  </si>
  <si>
    <t>EMPLOYEE WAS NOT WATCHING WHERE HE WAS GOING AND TRIPPED OVER A PALLET. RIGHT KNEE CONTUSION.</t>
  </si>
  <si>
    <t>009011000127</t>
  </si>
  <si>
    <t>GB001223</t>
  </si>
  <si>
    <t>*RAZOR KNIFE SLIPPED</t>
  </si>
  <si>
    <t>009011000126</t>
  </si>
  <si>
    <t>GB001227</t>
  </si>
  <si>
    <t>*CLAIMANT ALLEGES HE WAS BUILDING A DOOR  WHEN A PIECE OF WOOD    WENT INTO A FINGER ON HIS LEFT HAND. HE SUSTAINED A PUNCTURE AS A RESULT.</t>
  </si>
  <si>
    <t>009011000219</t>
  </si>
  <si>
    <t>GB001530</t>
  </si>
  <si>
    <t>CEPF*USING A DRILL MOTOR TO RUN A SCREW INTO SOME SHELVING        BRACKETS.                                                         THE DRILL AND SCREW GOT OFF CENTERLINE SO THE DRILL BIT CAME OUT  OF THE SCREW HEAD AND HIS HAND LUNGED FORWARD STRIKI</t>
  </si>
  <si>
    <t>009011000114</t>
  </si>
  <si>
    <t>GB001174</t>
  </si>
  <si>
    <t>*CLEANING ICE MACHINE AND WHEN PULLING ON A PIECE OF TUBING  IT   POPPED OFF AND THE HAND WENT UPWARDS  HITTING AN EXTENDING PART OFTHE MACHINE   079</t>
  </si>
  <si>
    <t>009011000116</t>
  </si>
  <si>
    <t>GB001175</t>
  </si>
  <si>
    <t>*WHILE LIFTING A BOX OF COPY PAPER (APPROX 60LBS)  EMPLOYEE FELT  'POP' IN UPPER NECK AREA CAUSING STRAIN TO NECK AND NUMBNESS TO   LEFT ARM.</t>
  </si>
  <si>
    <t>009011000113</t>
  </si>
  <si>
    <t>GB001147</t>
  </si>
  <si>
    <t>*IV DRIVER SLIP AND FELL ON ICE RESULTING IN A STRAIN TO HIS      LOWER                                                             BACK.   039</t>
  </si>
  <si>
    <t>009011000110</t>
  </si>
  <si>
    <t>GB001179</t>
  </si>
  <si>
    <t>*INSTALLING A REFRIGERATOR AT A CUSTOMER SITE AND WHEN LIFTING IT UPWARDS, FELT A SHARP PAIN IN LOWER BACK   067</t>
  </si>
  <si>
    <t>009011000117</t>
  </si>
  <si>
    <t>GB001151</t>
  </si>
  <si>
    <t>WORK STRESS - MENTAL STRESS</t>
  </si>
  <si>
    <t>009011000112</t>
  </si>
  <si>
    <t>GB001146</t>
  </si>
  <si>
    <t>*DISCONNECTING THE AIR SUPPLY THE AIR TRIGGER WAS ACCIDENTALLY    HIT                                                               AND I WAS CUT ON 3 FINGERS  011</t>
  </si>
  <si>
    <t>009011000103</t>
  </si>
  <si>
    <t>GB001118</t>
  </si>
  <si>
    <t>THE EE WAS WALKING IN THE PARKING LOT AND SHE SLIPPED ON SOME OIL THAT HAD LEAKED FROM A CAR. HER LEFT KNEE HAD A LACERATION  THE   TOP OF HER LEFT FOOT WAS SCRAPED AND HER LOWER LEFT BACK WAS SORE.</t>
  </si>
  <si>
    <t>009011000109</t>
  </si>
  <si>
    <t>GB001136</t>
  </si>
  <si>
    <t>*MANUALLY HANDLING EXHAUST VENT FOR KITCHEN INSTALLATION AND CUT  FINGER  057</t>
  </si>
  <si>
    <t>009011000121</t>
  </si>
  <si>
    <t>GB001191</t>
  </si>
  <si>
    <t>*HELPING CARRY A LARGE MIXER WHEN IT SLIPPED AND HIT EE IN        CHEST/FACE/MOUTH THEN IT FELL TO THE GROUND ****067****</t>
  </si>
  <si>
    <t>009011000098</t>
  </si>
  <si>
    <t>GB001102</t>
  </si>
  <si>
    <t>*CUT WRIST ON METAL FRAME OF MACHINE</t>
  </si>
  <si>
    <t>009011000118</t>
  </si>
  <si>
    <t>GB001157</t>
  </si>
  <si>
    <t>*WALKING OUTSIDE OF THE WAREHOUSE WHEN HE STEPPED IN A POTHOLE    AND TWISTED HIS LEFT FOOT   011</t>
  </si>
  <si>
    <t>009011000215</t>
  </si>
  <si>
    <t>GB001553</t>
  </si>
  <si>
    <t>WORKING/USING A DRILL</t>
  </si>
  <si>
    <t>009011000090</t>
  </si>
  <si>
    <t>GB001094</t>
  </si>
  <si>
    <t>CLAIMANT STATED HE WAS AT CUSTOMER LOCATION MAKING DELIVERY       CARRYING BOXES  WALKING DOWN STEPS  SLIPPED AND FELL AND LANDED ONHIS BACK - STEPS WET DUE TO RAIN.</t>
  </si>
  <si>
    <t>009011000087</t>
  </si>
  <si>
    <t>GB001075</t>
  </si>
  <si>
    <t>*LAYING ON BACK DRILLING UPWARDS INTO STEEL WHEN SHAVINGS FELL    INTO                                                              EYE. NO EYE PROTECTION WAS BEING WORN.</t>
  </si>
  <si>
    <t>009011000084</t>
  </si>
  <si>
    <t>GB001010</t>
  </si>
  <si>
    <t>WHILE EE WAS CUTTING OPEN A TUBE OF CAULK HE CUT IS HAND BETWEEN  HIS FIRST AND SECOND FINGER.  THIS RESULTED IN A LACERATION.</t>
  </si>
  <si>
    <t>009011000082</t>
  </si>
  <si>
    <t>GB001008</t>
  </si>
  <si>
    <t>*TRIPPED ON BROKEN CONCRETE IN WAREHOUSE AND FELL</t>
  </si>
  <si>
    <t>009011000083</t>
  </si>
  <si>
    <t>GB001009</t>
  </si>
  <si>
    <t>WHILE UNLOADING MERCHANDISE FROM COMPANY TRUCK TO HAND TRUCK      EMPLOYEE STEPPED ON UNEVEN PAVEMENT AND TWISTED RIGHT ANKLE.</t>
  </si>
  <si>
    <t>009011000088</t>
  </si>
  <si>
    <t>GB001076</t>
  </si>
  <si>
    <t>*EMPLOYEE STEPPED ON NAIL IN WAREHOUSE</t>
  </si>
  <si>
    <t>009011000072</t>
  </si>
  <si>
    <t>GB000998</t>
  </si>
  <si>
    <t>*EMPLOYEE TRIPPED OVER A STACK OF MATTS AT CUSTOMER LOCATION      AND LANDED ON FLOOR ON HER LEFT SIDE - CRACKED A RIB</t>
  </si>
  <si>
    <t>CT</t>
  </si>
  <si>
    <t>009011000068</t>
  </si>
  <si>
    <t>GB000981</t>
  </si>
  <si>
    <t>*THE EE WAS UNLOADING TOOLS FROM A TOOLBOX.  HE TURNED AND THE LIDFELL AND STRUCK AND INJURED  HIS  RIGHT ELBOW   LEFT WRIST AND    LEFT SIDE OF HIS HEAD.</t>
  </si>
  <si>
    <t>009011000067</t>
  </si>
  <si>
    <t>GB000963</t>
  </si>
  <si>
    <t>*WAS USING A SCREWDRIVER TO PUT A SCREW IN A STAINLESS STEEL PANELAND THE SCREWDRIVER SLIPPED  CAUSING HIS HAND TO GO FORWARD AND   SCRAPE AGAINST THE EDGE OF THE PANEL.</t>
  </si>
  <si>
    <t>009011000099</t>
  </si>
  <si>
    <t>GB001120</t>
  </si>
  <si>
    <t>*ALLEGEDLY OPERATING AN ORDER PICKER AND IT STOPPED SUDDENLY CAUSING HIM TO LUNGE FORWARD AND HIT FACE ON LIFT CAGE</t>
  </si>
  <si>
    <t>009011000061</t>
  </si>
  <si>
    <t>GB000978</t>
  </si>
  <si>
    <t>*PULLING THE LIFT GATE ON THE BACK OF THE INSTALLATION TRUCK</t>
  </si>
  <si>
    <t>009011000066</t>
  </si>
  <si>
    <t>GB000980</t>
  </si>
  <si>
    <t>*REMOVING WIRING FROM ICE MACHINE WHEN IT BEGAN TO FALL. CAUGHT   MACHINE WITH RIGHT HAND AND THE METAL EDGE CUT THUMB.</t>
  </si>
  <si>
    <t>009011000060</t>
  </si>
  <si>
    <t>GB000944</t>
  </si>
  <si>
    <t>*CAUGHT RIGHT HAND BETWEEN REFRIGERATOR AND WALL OF DELIVERY TRUCK</t>
  </si>
  <si>
    <t>009011000069</t>
  </si>
  <si>
    <t>GB000964</t>
  </si>
  <si>
    <t>*THE EE WAS USING A MANUAL PALLET JACK TO PUSH A PALLET OF PRODUCTINTO HIS DELIVERY TRUCK  WHEN THE PALLET BECAME STUCK BETWEEN THE DOCK AND TRUCK RESULTING IN AN INJURY TO THE EE'S LEFT FOOT.  THE EE WAS DX WITH A LEFT FOOT SPRAIN.</t>
  </si>
  <si>
    <t>009011000065</t>
  </si>
  <si>
    <t>GB000999</t>
  </si>
  <si>
    <t>ANIMAL OR INSECT</t>
  </si>
  <si>
    <t>*EMPLOYEE WAS ON A BUSINESS TRIP AND WAS BITTEN SEVERAL TIMES.  ITWAS DETERMINED AFTER A DR. VISIT THAT THEY ARE BED BUG BITES.</t>
  </si>
  <si>
    <t>009011000077</t>
  </si>
  <si>
    <t>GB001007</t>
  </si>
  <si>
    <t>*EMPLOYEE WAS UNINJURED  HOWEVER WE SENT HIM TO THE NEAREST URGENTCARE TO BE SURE.  ON 11/7/16 ANTONIO STATED THAT HE HASN'T HAD ANYPROBLEMS AFTER THE ACCIDENT AND IS 100%</t>
  </si>
  <si>
    <t>009011000057</t>
  </si>
  <si>
    <t>GB000948</t>
  </si>
  <si>
    <t>*EMPLOYEE SCRAPED LEFT SHIN ON PIECE OF BROKEN PALLET RESULTING 5 INCH SCRAPE</t>
  </si>
  <si>
    <t>009011000055</t>
  </si>
  <si>
    <t>GB000943</t>
  </si>
  <si>
    <t>TO AVOID A LOADED PALLET FROM DROPPING ON RT FOOT  EMPLOYEE JUMPEDAND LANDED INCORRECTLY ON LEFT FOOT.</t>
  </si>
  <si>
    <t>009011000054</t>
  </si>
  <si>
    <t>GB000941</t>
  </si>
  <si>
    <t>*CEPF*LIFTING A BOX</t>
  </si>
  <si>
    <t>009011000058</t>
  </si>
  <si>
    <t>GB000949</t>
  </si>
  <si>
    <t>*TECHNICIAN WAS SITTING ON FLOOR WORKING ON ROTISSERIE AND AS HE  STOOD UP  HIS FOOT SLIPPED OUT FROM UNDER HIM ON A GREASY FLOOR ATCUSTOMER SITE.</t>
  </si>
  <si>
    <t>009011000051</t>
  </si>
  <si>
    <t>GB000918</t>
  </si>
  <si>
    <t>WHILE LIFTING/MOVING A FREEZER (APPROX 200-LBS) WITH COWORKER OUT OF A TIGHT AREA  STRAINED LOWER BACK.</t>
  </si>
  <si>
    <t>009011000044</t>
  </si>
  <si>
    <t>GB000890</t>
  </si>
  <si>
    <t>*WHILE THE EE WAS LIFTING A PIECE OF EQUIPMENT OFF OF A CART  HE  STRAINED HIS LEFT OUTSIDE DELTOID.</t>
  </si>
  <si>
    <t>009011000039</t>
  </si>
  <si>
    <t>GB000874</t>
  </si>
  <si>
    <t>*PLACING A STAINLESS STEEL LID ON THE TOP OF AN ICE MACHINE AND CUT FINGER</t>
  </si>
  <si>
    <t>09011000036WC01</t>
  </si>
  <si>
    <t>GB000865</t>
  </si>
  <si>
    <t>*WHILE LIFTING KITCHEN SINK, COWORKER LIFTING THE SINK TOO FAST; TOP OF SINK HIT LOWER CHIN FORCING JAW TO CLOSE AND CAUSING</t>
  </si>
  <si>
    <t>009011000035</t>
  </si>
  <si>
    <t>GB000901</t>
  </si>
  <si>
    <t>EE WAS SITTING IN A CHAIR AND IT SLIPPED FROM UNDER HER CAUSING   HER TO FALL ON HER BOTTOM RESULTING IN PAIN TO HER LOWER BACK.</t>
  </si>
  <si>
    <t>009011000034</t>
  </si>
  <si>
    <t>GB000900</t>
  </si>
  <si>
    <t>THIS EE REPORTED TO HER SUPERVISOR THAT SHE HAS BEEN              EXPERIENCING                                                      SOME PAIN AND DISCOMFORT IN BOTH OF HER ARMS AND SHOULDERS.  SHE  FEELS THAT THIS IS DUE TO HER JOB DUTIES REQUIRING H</t>
  </si>
  <si>
    <t>009011000031</t>
  </si>
  <si>
    <t>GB000850</t>
  </si>
  <si>
    <t>*A GRINDER WHEEL (ON THE JOB SITE) DISENGAGED  FLEW OFF AND HIT   HIS INDEX FINDER - HE WAS WEARING LEATHER GLOVES SO ONLY SUFFERED A SMALL LACERATION AND A BROKEN INDEX FINGER</t>
  </si>
  <si>
    <t>009011000029</t>
  </si>
  <si>
    <t>GB000848</t>
  </si>
  <si>
    <t>Dislocation</t>
  </si>
  <si>
    <t>*UNLOADING BOXES  BOX ON TOP OF STACK FELL AND HIT THE EMPLOYEE INTHE MOUTH</t>
  </si>
  <si>
    <t>009011000062</t>
  </si>
  <si>
    <t>GB000979</t>
  </si>
  <si>
    <t>*STEPPED IN A PUDDLE OF WATER ON THE DOCK THEN STEPPED ONTO PALLETJACK AND FOOT SLIPPED OUT FROM UNDER HIM.  FELL AND SCRAPED SHIN  ON THE PALLET JACK PLATFORM.</t>
  </si>
  <si>
    <t>009011000024</t>
  </si>
  <si>
    <t>GB000864</t>
  </si>
  <si>
    <t>STEPPED DOWN FROM A CHERRY PICKER IN WAREHOUSE AND STEPPED ON A   PIECE OF BROKEN WOOD THAT WAS LYING ON THE FLOOR AND ROLLED ANKLE OVER.</t>
  </si>
  <si>
    <t>009011000025</t>
  </si>
  <si>
    <t>GB000833</t>
  </si>
  <si>
    <t>*EMPLOYEE KNELT DOWN ON A SCREW THAT WAS ON THE FLOOR.            SCREW                                                             PUNCTURED RIGHT KNEECAP</t>
  </si>
  <si>
    <t>009011000018</t>
  </si>
  <si>
    <t>GB000832</t>
  </si>
  <si>
    <t>*THE EE WAS STEPPING OFF THE CURB WHEN HE FELL  USING HIS RIGHT   HAND TO BREAK HIS FALL. THE EE INJURED HIS RIGHT HAND AND THE     RIGHT SIDE OF HIS BODY HIT THE PAVEMENT.</t>
  </si>
  <si>
    <t>009011000009</t>
  </si>
  <si>
    <t>GB000830</t>
  </si>
  <si>
    <t>*EMPLOYEE WAS DELIVERY PRODUCTS ON THE TRUCK RAMP. WHILE          LIFTING                                                           BOXES  HE STRAINED HIS BACK.</t>
  </si>
  <si>
    <t>009011000016</t>
  </si>
  <si>
    <t>GB000831</t>
  </si>
  <si>
    <t>THE EE WAS FLIPPING A TABLE OVER  WHEN HIS LEFT HAND HIT THE      TABLE. THE EE SUSTAINED A LACERATION TO HIS LEFT HAND.</t>
  </si>
  <si>
    <t>009011000008</t>
  </si>
  <si>
    <t>GB000847</t>
  </si>
  <si>
    <t>REACHING FOR A BOX ABOVE HIS HEAD.</t>
  </si>
  <si>
    <t>TM1001</t>
  </si>
  <si>
    <t>TRIMARK GILL GROUP-CROFTON</t>
  </si>
  <si>
    <t>009011000207</t>
  </si>
  <si>
    <t>GB001588</t>
  </si>
  <si>
    <t>*EE SUSTAINED A LACERATION TO HIS ARM WHILE WORKING.</t>
  </si>
  <si>
    <t>009011000043</t>
  </si>
  <si>
    <t>GB000889</t>
  </si>
  <si>
    <t>*WHILE THE EE WAS WALKING BETWEEN THE LOADING DOCK AND A TRUCK  HETRIPPED AND SPRAINED HIS LEFT ANKLE.</t>
  </si>
  <si>
    <t>009011000006</t>
  </si>
  <si>
    <t>GB000829</t>
  </si>
  <si>
    <t>THE EE WAS INVOLVED ON AN AUTO ACCIDENT AND SUSTAINED STIFFNESS INNECK AND LEFT SHOULDER.</t>
  </si>
  <si>
    <t>009011000005</t>
  </si>
  <si>
    <t>GB000828</t>
  </si>
  <si>
    <t>*THE EE WAS UNLOADING A TRUCK. WHILE STANDING ON A PALLET  HE     PICKED UP A CASE OF WAX PAPER  TURNED TO PUT IT ON A TWO WHEELER  AND EXPERIENCED PAIN IN HIS LOWER BACK.</t>
  </si>
  <si>
    <t>009011000004</t>
  </si>
  <si>
    <t>GB000827</t>
  </si>
  <si>
    <t>*DAVID STATED HE WAS PULLING PLATES OFF THE BOTTOM OF A PALLET    WHEN                                                              HE FELT PAIN IN HIS BACK.</t>
  </si>
  <si>
    <t>Mary  Castellanos</t>
  </si>
  <si>
    <t>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</si>
</sst>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_(&quot;$&quot;* #,##0_);_(&quot;$&quot;* \(#,##0\);_(&quot;$&quot;* &quot;-&quot;??_);_(@_)"/>
    <numFmt numFmtId="165"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5">
    <xf numFmtId="0" fontId="0" fillId="0" borderId="0" xfId="0"/>
    <xf numFmtId="14" fontId="0" fillId="0" borderId="0" xfId="0" applyNumberFormat="1"/>
    <xf numFmtId="8" fontId="0" fillId="0" borderId="0" xfId="0" applyNumberFormat="1"/>
    <xf numFmtId="1" fontId="0" fillId="0" borderId="0" xfId="0" applyNumberFormat="1"/>
    <xf numFmtId="0" fontId="0" fillId="0" borderId="10" xfId="0" applyBorder="1"/>
    <xf numFmtId="164" fontId="0" fillId="0" borderId="10" xfId="42" applyNumberFormat="1" applyFont="1"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5" xfId="42" applyNumberFormat="1" applyFont="1" applyBorder="1"/>
    <xf numFmtId="0" fontId="0" fillId="0" borderId="16" xfId="0" applyBorder="1"/>
    <xf numFmtId="0" fontId="0" fillId="0" borderId="17" xfId="0" applyBorder="1"/>
    <xf numFmtId="164" fontId="0" fillId="0" borderId="17" xfId="42" applyNumberFormat="1" applyFont="1" applyBorder="1"/>
    <xf numFmtId="164" fontId="0" fillId="0" borderId="18" xfId="42" applyNumberFormat="1" applyFont="1" applyBorder="1"/>
    <xf numFmtId="0" fontId="13" fillId="33" borderId="0" xfId="0" applyFont="1" applyFill="1" applyAlignment="1">
      <alignment wrapText="1"/>
    </xf>
    <xf numFmtId="0" fontId="13" fillId="33" borderId="0" xfId="0" applyFont="1" applyFill="1" applyAlignment="1">
      <alignment horizontal="center" vertical="center" wrapText="1"/>
    </xf>
    <xf numFmtId="0" fontId="13" fillId="33" borderId="0" xfId="0" applyFont="1" applyFill="1"/>
    <xf numFmtId="165" fontId="13" fillId="33" borderId="0" xfId="0" applyNumberFormat="1" applyFont="1" applyFill="1" applyAlignment="1">
      <alignment wrapText="1"/>
    </xf>
    <xf numFmtId="0" fontId="0" fillId="0" borderId="0" xfId="0" applyAlignment="1">
      <alignment wrapText="1"/>
    </xf>
    <xf numFmtId="0" fontId="0" fillId="0" borderId="0" xfId="0" applyAlignment="1">
      <alignment horizontal="center" vertical="center" wrapText="1"/>
    </xf>
    <xf numFmtId="14" fontId="0" fillId="0" borderId="0" xfId="0" applyNumberFormat="1" applyAlignment="1">
      <alignment wrapText="1"/>
    </xf>
    <xf numFmtId="165" fontId="0" fillId="0" borderId="0" xfId="0" applyNumberFormat="1" applyAlignment="1">
      <alignment wrapText="1"/>
    </xf>
    <xf numFmtId="0" fontId="0" fillId="34" borderId="0" xfId="0" applyFill="1"/>
    <xf numFmtId="0" fontId="0" fillId="34"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C4AC-E4A2-40D1-8A85-5721EAF00E28}">
  <sheetPr>
    <pageSetUpPr fitToPage="1"/>
  </sheetPr>
  <dimension ref="A1:AJ579"/>
  <sheetViews>
    <sheetView workbookViewId="0">
      <selection activeCell="N1" sqref="A1:XFD1"/>
    </sheetView>
  </sheetViews>
  <sheetFormatPr defaultRowHeight="14.5" outlineLevelRow="2" x14ac:dyDescent="0.35"/>
  <cols>
    <col min="1" max="1" width="14.7265625" style="19" customWidth="1"/>
    <col min="2" max="2" width="11.1796875" style="19" bestFit="1" customWidth="1"/>
    <col min="3" max="3" width="13.1796875" style="19" customWidth="1"/>
    <col min="4" max="4" width="10.453125" style="19" bestFit="1" customWidth="1"/>
    <col min="5" max="5" width="12.453125" style="19" bestFit="1" customWidth="1"/>
    <col min="6" max="6" width="10.1796875" style="19" bestFit="1" customWidth="1"/>
    <col min="7" max="7" width="13.54296875" style="19" bestFit="1" customWidth="1"/>
    <col min="8" max="8" width="9.81640625" style="19" bestFit="1" customWidth="1"/>
    <col min="9" max="9" width="9.7265625" style="19" bestFit="1" customWidth="1"/>
    <col min="10" max="10" width="8.26953125" style="20" customWidth="1"/>
    <col min="11" max="13" width="10.26953125" style="19" customWidth="1"/>
    <col min="14" max="14" width="14.7265625" style="19" customWidth="1"/>
    <col min="15" max="15" width="11.26953125" style="19" bestFit="1" customWidth="1"/>
    <col min="16" max="16" width="14.81640625" style="19" bestFit="1" customWidth="1"/>
    <col min="17" max="17" width="14.453125" style="19" bestFit="1" customWidth="1"/>
    <col min="18" max="18" width="17" style="19" bestFit="1" customWidth="1"/>
    <col min="19" max="19" width="33.7265625" style="19" customWidth="1"/>
    <col min="20" max="20" width="5.26953125" bestFit="1" customWidth="1"/>
    <col min="21" max="21" width="13.7265625" style="22" bestFit="1" customWidth="1"/>
    <col min="22" max="22" width="12" style="22" bestFit="1" customWidth="1"/>
    <col min="23" max="23" width="13.7265625" style="22" bestFit="1" customWidth="1"/>
    <col min="24" max="24" width="12" style="22" bestFit="1" customWidth="1"/>
    <col min="25" max="25" width="13.7265625" style="22" bestFit="1" customWidth="1"/>
    <col min="26" max="26" width="12" style="22" bestFit="1" customWidth="1"/>
    <col min="27" max="28" width="11.7265625" style="22" bestFit="1" customWidth="1"/>
    <col min="29" max="29" width="9.453125" style="22" bestFit="1" customWidth="1"/>
    <col min="30" max="30" width="13.81640625" style="22" bestFit="1" customWidth="1"/>
    <col min="31" max="31" width="13.7265625" style="22" bestFit="1" customWidth="1"/>
    <col min="32" max="32" width="13.7265625" style="22" customWidth="1"/>
    <col min="33" max="33" width="12" style="22" bestFit="1" customWidth="1"/>
    <col min="34" max="34" width="13.7265625" style="22" bestFit="1" customWidth="1"/>
    <col min="35" max="35" width="13.81640625" hidden="1" customWidth="1"/>
    <col min="36" max="36" width="16.7265625" hidden="1" customWidth="1"/>
  </cols>
  <sheetData>
    <row r="1" spans="1:36" s="17" customFormat="1" ht="43.5" x14ac:dyDescent="0.35">
      <c r="A1" s="15" t="s">
        <v>519</v>
      </c>
      <c r="B1" s="15" t="s">
        <v>520</v>
      </c>
      <c r="C1" s="15" t="s">
        <v>521</v>
      </c>
      <c r="D1" s="15" t="s">
        <v>522</v>
      </c>
      <c r="E1" s="15" t="s">
        <v>523</v>
      </c>
      <c r="F1" s="15" t="s">
        <v>524</v>
      </c>
      <c r="G1" s="15" t="s">
        <v>525</v>
      </c>
      <c r="H1" s="15" t="s">
        <v>526</v>
      </c>
      <c r="I1" s="15" t="s">
        <v>9</v>
      </c>
      <c r="J1" s="16" t="s">
        <v>527</v>
      </c>
      <c r="K1" s="15" t="s">
        <v>528</v>
      </c>
      <c r="L1" s="15" t="s">
        <v>529</v>
      </c>
      <c r="M1" s="15" t="s">
        <v>530</v>
      </c>
      <c r="N1" s="15" t="s">
        <v>10</v>
      </c>
      <c r="O1" s="15" t="s">
        <v>531</v>
      </c>
      <c r="P1" s="15" t="s">
        <v>532</v>
      </c>
      <c r="Q1" s="15" t="s">
        <v>533</v>
      </c>
      <c r="R1" s="15" t="s">
        <v>5</v>
      </c>
      <c r="S1" s="15" t="s">
        <v>534</v>
      </c>
      <c r="T1" s="17" t="s">
        <v>535</v>
      </c>
      <c r="U1" s="18" t="s">
        <v>536</v>
      </c>
      <c r="V1" s="18" t="s">
        <v>537</v>
      </c>
      <c r="W1" s="18" t="s">
        <v>538</v>
      </c>
      <c r="X1" s="18" t="s">
        <v>539</v>
      </c>
      <c r="Y1" s="18" t="s">
        <v>540</v>
      </c>
      <c r="Z1" s="18" t="s">
        <v>541</v>
      </c>
      <c r="AA1" s="18" t="s">
        <v>542</v>
      </c>
      <c r="AB1" s="18" t="s">
        <v>543</v>
      </c>
      <c r="AC1" s="18" t="s">
        <v>544</v>
      </c>
      <c r="AD1" s="18" t="s">
        <v>545</v>
      </c>
      <c r="AE1" s="18" t="s">
        <v>23</v>
      </c>
      <c r="AF1" s="18" t="s">
        <v>546</v>
      </c>
      <c r="AG1" s="18" t="s">
        <v>547</v>
      </c>
      <c r="AH1" s="18" t="s">
        <v>548</v>
      </c>
      <c r="AI1" s="17" t="s">
        <v>549</v>
      </c>
      <c r="AJ1" s="17" t="s">
        <v>550</v>
      </c>
    </row>
    <row r="2" spans="1:36" ht="87" outlineLevel="2" x14ac:dyDescent="0.35">
      <c r="A2" s="19" t="s">
        <v>551</v>
      </c>
      <c r="B2" s="19" t="s">
        <v>552</v>
      </c>
      <c r="C2" s="19" t="s">
        <v>553</v>
      </c>
      <c r="D2" s="19">
        <v>2021</v>
      </c>
      <c r="E2" s="19" t="s">
        <v>554</v>
      </c>
      <c r="F2" s="19">
        <v>80091486</v>
      </c>
      <c r="G2" s="19" t="s">
        <v>555</v>
      </c>
      <c r="H2" s="19" t="s">
        <v>556</v>
      </c>
      <c r="I2" s="19" t="s">
        <v>31</v>
      </c>
      <c r="J2" s="20">
        <v>1</v>
      </c>
      <c r="K2" s="21">
        <v>44742</v>
      </c>
      <c r="L2" s="21">
        <v>44753</v>
      </c>
      <c r="M2" s="21">
        <v>44754</v>
      </c>
      <c r="N2" s="24" t="s">
        <v>2448</v>
      </c>
      <c r="O2" s="19" t="s">
        <v>557</v>
      </c>
      <c r="P2" s="19" t="s">
        <v>558</v>
      </c>
      <c r="Q2" s="19" t="s">
        <v>559</v>
      </c>
      <c r="R2" s="19" t="s">
        <v>560</v>
      </c>
      <c r="S2" s="19" t="s">
        <v>561</v>
      </c>
      <c r="T2" t="s">
        <v>85</v>
      </c>
      <c r="U2" s="22">
        <v>0</v>
      </c>
      <c r="V2" s="22">
        <v>0</v>
      </c>
      <c r="W2" s="22">
        <v>150.31</v>
      </c>
      <c r="X2" s="22">
        <v>0</v>
      </c>
      <c r="Y2" s="22">
        <v>10.36</v>
      </c>
      <c r="Z2" s="22">
        <v>0</v>
      </c>
      <c r="AA2" s="22">
        <v>0</v>
      </c>
      <c r="AB2" s="22">
        <v>0</v>
      </c>
      <c r="AC2" s="22">
        <v>0</v>
      </c>
      <c r="AD2" s="22">
        <v>0</v>
      </c>
      <c r="AE2" s="22">
        <v>160.66999999999999</v>
      </c>
      <c r="AF2" s="22">
        <f>AE2+AA2+AB2+AC2</f>
        <v>160.66999999999999</v>
      </c>
      <c r="AG2" s="22">
        <v>0</v>
      </c>
      <c r="AH2" s="22">
        <v>160.66999999999999</v>
      </c>
      <c r="AI2" t="s">
        <v>562</v>
      </c>
      <c r="AJ2" t="s">
        <v>563</v>
      </c>
    </row>
    <row r="3" spans="1:36" ht="58" outlineLevel="2" x14ac:dyDescent="0.35">
      <c r="A3" s="19" t="s">
        <v>551</v>
      </c>
      <c r="B3" s="19" t="s">
        <v>564</v>
      </c>
      <c r="C3" s="19" t="s">
        <v>565</v>
      </c>
      <c r="D3" s="19">
        <v>2021</v>
      </c>
      <c r="E3" s="19" t="s">
        <v>554</v>
      </c>
      <c r="F3" s="19">
        <v>80091561</v>
      </c>
      <c r="G3" s="19" t="s">
        <v>566</v>
      </c>
      <c r="H3" s="19" t="s">
        <v>567</v>
      </c>
      <c r="I3" s="19" t="s">
        <v>31</v>
      </c>
      <c r="J3" s="20">
        <v>1</v>
      </c>
      <c r="K3" s="21">
        <v>44741</v>
      </c>
      <c r="L3" s="21">
        <v>44741</v>
      </c>
      <c r="M3" s="21">
        <v>44788</v>
      </c>
      <c r="N3" s="24" t="s">
        <v>2448</v>
      </c>
      <c r="O3" s="19" t="s">
        <v>557</v>
      </c>
      <c r="P3" s="19" t="s">
        <v>568</v>
      </c>
      <c r="Q3" s="19" t="s">
        <v>569</v>
      </c>
      <c r="R3" s="19" t="s">
        <v>570</v>
      </c>
      <c r="S3" s="19" t="s">
        <v>571</v>
      </c>
      <c r="T3" t="s">
        <v>51</v>
      </c>
      <c r="U3" s="22">
        <v>0</v>
      </c>
      <c r="V3" s="22">
        <v>0</v>
      </c>
      <c r="W3" s="22">
        <v>155.88</v>
      </c>
      <c r="X3" s="22">
        <v>0</v>
      </c>
      <c r="Y3" s="22">
        <v>18.940000000000001</v>
      </c>
      <c r="Z3" s="22">
        <v>0</v>
      </c>
      <c r="AA3" s="22">
        <v>0</v>
      </c>
      <c r="AB3" s="22">
        <v>0</v>
      </c>
      <c r="AC3" s="22">
        <v>0</v>
      </c>
      <c r="AD3" s="22">
        <v>0</v>
      </c>
      <c r="AE3" s="22">
        <v>174.82</v>
      </c>
      <c r="AF3" s="22">
        <f t="shared" ref="AF3:AF66" si="0">AE3+AA3+AB3+AC3</f>
        <v>174.82</v>
      </c>
      <c r="AG3" s="22">
        <v>0</v>
      </c>
      <c r="AH3" s="22">
        <v>174.82</v>
      </c>
      <c r="AI3" t="s">
        <v>562</v>
      </c>
      <c r="AJ3" t="s">
        <v>563</v>
      </c>
    </row>
    <row r="4" spans="1:36" ht="58" outlineLevel="2" x14ac:dyDescent="0.35">
      <c r="A4" s="19" t="s">
        <v>551</v>
      </c>
      <c r="B4" s="19" t="s">
        <v>572</v>
      </c>
      <c r="C4" s="19" t="s">
        <v>573</v>
      </c>
      <c r="D4" s="19">
        <v>2021</v>
      </c>
      <c r="E4" s="19" t="s">
        <v>554</v>
      </c>
      <c r="F4" s="19">
        <v>80091587</v>
      </c>
      <c r="G4" s="19" t="s">
        <v>574</v>
      </c>
      <c r="H4" s="19" t="s">
        <v>575</v>
      </c>
      <c r="I4" s="19" t="s">
        <v>31</v>
      </c>
      <c r="J4" s="20">
        <v>1</v>
      </c>
      <c r="K4" s="21">
        <v>44739</v>
      </c>
      <c r="L4" s="21">
        <v>44739</v>
      </c>
      <c r="M4" s="21">
        <v>45125</v>
      </c>
      <c r="N4" s="24" t="s">
        <v>2448</v>
      </c>
      <c r="O4" s="19" t="s">
        <v>557</v>
      </c>
      <c r="P4" s="19" t="s">
        <v>576</v>
      </c>
      <c r="Q4" s="19" t="s">
        <v>577</v>
      </c>
      <c r="R4" s="19" t="s">
        <v>578</v>
      </c>
      <c r="S4" s="19" t="s">
        <v>579</v>
      </c>
      <c r="T4" t="s">
        <v>139</v>
      </c>
      <c r="U4" s="22">
        <v>14042.4</v>
      </c>
      <c r="V4" s="22">
        <v>0</v>
      </c>
      <c r="W4" s="22">
        <v>1880.29</v>
      </c>
      <c r="X4" s="22">
        <v>0</v>
      </c>
      <c r="Y4" s="22">
        <v>108.9</v>
      </c>
      <c r="Z4" s="22">
        <v>0</v>
      </c>
      <c r="AA4" s="22">
        <v>0</v>
      </c>
      <c r="AB4" s="22">
        <v>0</v>
      </c>
      <c r="AC4" s="22">
        <v>0</v>
      </c>
      <c r="AD4" s="22">
        <v>-4.4000000000000004</v>
      </c>
      <c r="AE4" s="22">
        <v>16031.59</v>
      </c>
      <c r="AF4" s="22">
        <f t="shared" si="0"/>
        <v>16031.59</v>
      </c>
      <c r="AG4" s="22">
        <v>0</v>
      </c>
      <c r="AH4" s="22">
        <v>16031.59</v>
      </c>
      <c r="AI4" t="s">
        <v>562</v>
      </c>
      <c r="AJ4" t="s">
        <v>563</v>
      </c>
    </row>
    <row r="5" spans="1:36" ht="72.5" outlineLevel="2" x14ac:dyDescent="0.35">
      <c r="A5" s="19" t="s">
        <v>551</v>
      </c>
      <c r="B5" s="19" t="s">
        <v>580</v>
      </c>
      <c r="C5" s="19" t="s">
        <v>581</v>
      </c>
      <c r="D5" s="19">
        <v>2021</v>
      </c>
      <c r="E5" s="19" t="s">
        <v>554</v>
      </c>
      <c r="F5" s="19">
        <v>80091566</v>
      </c>
      <c r="G5" s="19" t="s">
        <v>582</v>
      </c>
      <c r="H5" s="19" t="s">
        <v>583</v>
      </c>
      <c r="I5" s="19" t="s">
        <v>31</v>
      </c>
      <c r="J5" s="20">
        <v>1</v>
      </c>
      <c r="K5" s="21">
        <v>44732</v>
      </c>
      <c r="L5" s="21">
        <v>44747</v>
      </c>
      <c r="M5" s="21">
        <v>45005</v>
      </c>
      <c r="N5" s="24" t="s">
        <v>2448</v>
      </c>
      <c r="O5" s="19" t="s">
        <v>557</v>
      </c>
      <c r="P5" s="19" t="s">
        <v>568</v>
      </c>
      <c r="Q5" s="19" t="s">
        <v>584</v>
      </c>
      <c r="R5" s="19" t="s">
        <v>570</v>
      </c>
      <c r="S5" s="19" t="s">
        <v>585</v>
      </c>
      <c r="T5" t="s">
        <v>51</v>
      </c>
      <c r="U5" s="22">
        <v>259.04000000000002</v>
      </c>
      <c r="V5" s="22">
        <v>0</v>
      </c>
      <c r="W5" s="22">
        <v>3066.7</v>
      </c>
      <c r="X5" s="22">
        <v>0</v>
      </c>
      <c r="Y5" s="22">
        <v>134.57</v>
      </c>
      <c r="Z5" s="22">
        <v>0</v>
      </c>
      <c r="AA5" s="22">
        <v>0</v>
      </c>
      <c r="AB5" s="22">
        <v>0</v>
      </c>
      <c r="AC5" s="22">
        <v>0</v>
      </c>
      <c r="AD5" s="22">
        <v>0</v>
      </c>
      <c r="AE5" s="22">
        <v>3460.31</v>
      </c>
      <c r="AF5" s="22">
        <f t="shared" si="0"/>
        <v>3460.31</v>
      </c>
      <c r="AG5" s="22">
        <v>0</v>
      </c>
      <c r="AH5" s="22">
        <v>3460.31</v>
      </c>
      <c r="AI5" t="s">
        <v>562</v>
      </c>
      <c r="AJ5" t="s">
        <v>563</v>
      </c>
    </row>
    <row r="6" spans="1:36" ht="58" outlineLevel="2" x14ac:dyDescent="0.35">
      <c r="A6" s="19" t="s">
        <v>551</v>
      </c>
      <c r="B6" s="19" t="s">
        <v>586</v>
      </c>
      <c r="C6" s="19" t="s">
        <v>587</v>
      </c>
      <c r="D6" s="19">
        <v>2021</v>
      </c>
      <c r="E6" s="19" t="s">
        <v>554</v>
      </c>
      <c r="F6" s="19">
        <v>80091538</v>
      </c>
      <c r="G6" s="19" t="s">
        <v>588</v>
      </c>
      <c r="H6" s="19" t="s">
        <v>589</v>
      </c>
      <c r="I6" s="19" t="s">
        <v>31</v>
      </c>
      <c r="J6" s="20">
        <v>1</v>
      </c>
      <c r="K6" s="21">
        <v>44729</v>
      </c>
      <c r="L6" s="21">
        <v>44729</v>
      </c>
      <c r="M6" s="21">
        <v>45141</v>
      </c>
      <c r="N6" s="24" t="s">
        <v>2448</v>
      </c>
      <c r="O6" s="19" t="s">
        <v>557</v>
      </c>
      <c r="P6" s="19" t="s">
        <v>568</v>
      </c>
      <c r="Q6" s="19" t="s">
        <v>590</v>
      </c>
      <c r="R6" s="19" t="s">
        <v>591</v>
      </c>
      <c r="S6" s="19" t="s">
        <v>592</v>
      </c>
      <c r="T6" t="s">
        <v>45</v>
      </c>
      <c r="U6" s="22">
        <v>10000</v>
      </c>
      <c r="V6" s="22">
        <v>0</v>
      </c>
      <c r="W6" s="22">
        <v>13595.65</v>
      </c>
      <c r="X6" s="22">
        <v>0</v>
      </c>
      <c r="Y6" s="22">
        <v>24117.67</v>
      </c>
      <c r="Z6" s="22">
        <v>0</v>
      </c>
      <c r="AA6" s="22">
        <v>0</v>
      </c>
      <c r="AB6" s="22">
        <v>0</v>
      </c>
      <c r="AC6" s="22">
        <v>0</v>
      </c>
      <c r="AD6" s="22">
        <v>0</v>
      </c>
      <c r="AE6" s="22">
        <v>47713.32</v>
      </c>
      <c r="AF6" s="22">
        <f t="shared" si="0"/>
        <v>47713.32</v>
      </c>
      <c r="AG6" s="22">
        <v>0</v>
      </c>
      <c r="AH6" s="22">
        <v>47713.32</v>
      </c>
      <c r="AI6" t="s">
        <v>562</v>
      </c>
      <c r="AJ6" t="s">
        <v>563</v>
      </c>
    </row>
    <row r="7" spans="1:36" ht="72.5" outlineLevel="2" x14ac:dyDescent="0.35">
      <c r="A7" s="19" t="s">
        <v>551</v>
      </c>
      <c r="B7" s="19" t="s">
        <v>593</v>
      </c>
      <c r="C7" s="19" t="s">
        <v>594</v>
      </c>
      <c r="D7" s="19">
        <v>2021</v>
      </c>
      <c r="E7" s="19" t="s">
        <v>554</v>
      </c>
      <c r="F7" s="19">
        <v>80091485</v>
      </c>
      <c r="G7" s="19" t="s">
        <v>595</v>
      </c>
      <c r="H7" s="19" t="s">
        <v>596</v>
      </c>
      <c r="I7" s="19" t="s">
        <v>31</v>
      </c>
      <c r="J7" s="20">
        <v>1</v>
      </c>
      <c r="K7" s="21">
        <v>44722</v>
      </c>
      <c r="L7" s="21">
        <v>44722</v>
      </c>
      <c r="M7" s="21">
        <v>44972</v>
      </c>
      <c r="N7" s="24" t="s">
        <v>2448</v>
      </c>
      <c r="O7" s="19" t="s">
        <v>557</v>
      </c>
      <c r="P7" s="19" t="s">
        <v>558</v>
      </c>
      <c r="Q7" s="19" t="s">
        <v>597</v>
      </c>
      <c r="R7" s="19" t="s">
        <v>591</v>
      </c>
      <c r="S7" s="19" t="s">
        <v>598</v>
      </c>
      <c r="T7" t="s">
        <v>33</v>
      </c>
      <c r="U7" s="22">
        <v>5780.7</v>
      </c>
      <c r="V7" s="22">
        <v>0</v>
      </c>
      <c r="W7" s="22">
        <v>3729.54</v>
      </c>
      <c r="X7" s="22">
        <v>0</v>
      </c>
      <c r="Y7" s="22">
        <v>2450.19</v>
      </c>
      <c r="Z7" s="22">
        <v>0</v>
      </c>
      <c r="AA7" s="22">
        <v>0</v>
      </c>
      <c r="AB7" s="22">
        <v>0</v>
      </c>
      <c r="AC7" s="22">
        <v>0</v>
      </c>
      <c r="AD7" s="22">
        <v>0</v>
      </c>
      <c r="AE7" s="22">
        <v>11960.43</v>
      </c>
      <c r="AF7" s="22">
        <f t="shared" si="0"/>
        <v>11960.43</v>
      </c>
      <c r="AG7" s="22">
        <v>0</v>
      </c>
      <c r="AH7" s="22">
        <v>11960.43</v>
      </c>
      <c r="AI7" t="s">
        <v>562</v>
      </c>
      <c r="AJ7" t="s">
        <v>563</v>
      </c>
    </row>
    <row r="8" spans="1:36" ht="58" outlineLevel="2" x14ac:dyDescent="0.35">
      <c r="A8" s="19" t="s">
        <v>551</v>
      </c>
      <c r="B8" s="19" t="s">
        <v>599</v>
      </c>
      <c r="C8" s="19" t="s">
        <v>600</v>
      </c>
      <c r="D8" s="19">
        <v>2021</v>
      </c>
      <c r="E8" s="19" t="s">
        <v>554</v>
      </c>
      <c r="F8" s="19">
        <v>80091512</v>
      </c>
      <c r="G8" s="19" t="s">
        <v>601</v>
      </c>
      <c r="H8" s="19" t="s">
        <v>602</v>
      </c>
      <c r="I8" s="19" t="s">
        <v>31</v>
      </c>
      <c r="J8" s="20">
        <v>1</v>
      </c>
      <c r="K8" s="21">
        <v>44719</v>
      </c>
      <c r="L8" s="21">
        <v>44719</v>
      </c>
      <c r="M8" s="21">
        <v>44895</v>
      </c>
      <c r="N8" s="24" t="s">
        <v>2448</v>
      </c>
      <c r="O8" s="19" t="s">
        <v>603</v>
      </c>
      <c r="P8" s="19" t="s">
        <v>576</v>
      </c>
      <c r="Q8" s="19" t="s">
        <v>590</v>
      </c>
      <c r="R8" s="19" t="s">
        <v>560</v>
      </c>
      <c r="S8" s="19" t="s">
        <v>604</v>
      </c>
      <c r="T8" t="s">
        <v>51</v>
      </c>
      <c r="U8" s="22">
        <v>0</v>
      </c>
      <c r="V8" s="22">
        <v>0</v>
      </c>
      <c r="W8" s="22">
        <v>0</v>
      </c>
      <c r="X8" s="22">
        <v>0</v>
      </c>
      <c r="Y8" s="22">
        <v>9.5</v>
      </c>
      <c r="Z8" s="22">
        <v>0</v>
      </c>
      <c r="AA8" s="22">
        <v>0</v>
      </c>
      <c r="AB8" s="22">
        <v>0</v>
      </c>
      <c r="AC8" s="22">
        <v>0</v>
      </c>
      <c r="AD8" s="22">
        <v>0</v>
      </c>
      <c r="AE8" s="22">
        <v>9.5</v>
      </c>
      <c r="AF8" s="22">
        <f t="shared" si="0"/>
        <v>9.5</v>
      </c>
      <c r="AG8" s="22">
        <v>0</v>
      </c>
      <c r="AH8" s="22">
        <v>9.5</v>
      </c>
      <c r="AI8" t="s">
        <v>562</v>
      </c>
      <c r="AJ8" t="s">
        <v>563</v>
      </c>
    </row>
    <row r="9" spans="1:36" ht="58" outlineLevel="2" x14ac:dyDescent="0.35">
      <c r="A9" s="19" t="s">
        <v>551</v>
      </c>
      <c r="B9" s="19" t="s">
        <v>605</v>
      </c>
      <c r="C9" s="19" t="s">
        <v>606</v>
      </c>
      <c r="D9" s="19">
        <v>2021</v>
      </c>
      <c r="E9" s="19" t="s">
        <v>554</v>
      </c>
      <c r="F9" s="19">
        <v>80091484</v>
      </c>
      <c r="G9" s="19" t="s">
        <v>607</v>
      </c>
      <c r="H9" s="19" t="s">
        <v>608</v>
      </c>
      <c r="I9" s="19" t="s">
        <v>31</v>
      </c>
      <c r="J9" s="20">
        <v>1</v>
      </c>
      <c r="K9" s="21">
        <v>44718</v>
      </c>
      <c r="L9" s="21">
        <v>44720</v>
      </c>
      <c r="M9" s="21">
        <v>44732</v>
      </c>
      <c r="N9" s="24" t="s">
        <v>2448</v>
      </c>
      <c r="O9" s="19" t="s">
        <v>557</v>
      </c>
      <c r="P9" s="19" t="s">
        <v>609</v>
      </c>
      <c r="Q9" s="19" t="s">
        <v>610</v>
      </c>
      <c r="R9" s="19" t="s">
        <v>570</v>
      </c>
      <c r="S9" s="19" t="s">
        <v>611</v>
      </c>
      <c r="T9" t="s">
        <v>33</v>
      </c>
      <c r="U9" s="22">
        <v>0</v>
      </c>
      <c r="V9" s="22">
        <v>0</v>
      </c>
      <c r="W9" s="22">
        <v>149.77000000000001</v>
      </c>
      <c r="X9" s="22">
        <v>0</v>
      </c>
      <c r="Y9" s="22">
        <v>10.35</v>
      </c>
      <c r="Z9" s="22">
        <v>0</v>
      </c>
      <c r="AA9" s="22">
        <v>0</v>
      </c>
      <c r="AB9" s="22">
        <v>0</v>
      </c>
      <c r="AC9" s="22">
        <v>0</v>
      </c>
      <c r="AD9" s="22">
        <v>0</v>
      </c>
      <c r="AE9" s="22">
        <v>160.12</v>
      </c>
      <c r="AF9" s="22">
        <f t="shared" si="0"/>
        <v>160.12</v>
      </c>
      <c r="AG9" s="22">
        <v>0</v>
      </c>
      <c r="AH9" s="22">
        <v>160.12</v>
      </c>
      <c r="AI9" t="s">
        <v>562</v>
      </c>
      <c r="AJ9" t="s">
        <v>563</v>
      </c>
    </row>
    <row r="10" spans="1:36" ht="72.5" outlineLevel="2" x14ac:dyDescent="0.35">
      <c r="A10" s="19" t="s">
        <v>551</v>
      </c>
      <c r="B10" s="19" t="s">
        <v>612</v>
      </c>
      <c r="C10" s="19" t="s">
        <v>613</v>
      </c>
      <c r="D10" s="19">
        <v>2021</v>
      </c>
      <c r="E10" s="19" t="s">
        <v>554</v>
      </c>
      <c r="F10" s="19">
        <v>80091615</v>
      </c>
      <c r="G10" s="19" t="s">
        <v>614</v>
      </c>
      <c r="H10" s="19" t="s">
        <v>615</v>
      </c>
      <c r="I10" s="19" t="s">
        <v>31</v>
      </c>
      <c r="J10" s="20">
        <v>1</v>
      </c>
      <c r="K10" s="21">
        <v>44705</v>
      </c>
      <c r="L10" s="21">
        <v>44753</v>
      </c>
      <c r="M10" s="21">
        <v>44799</v>
      </c>
      <c r="N10" s="24" t="s">
        <v>2448</v>
      </c>
      <c r="O10" s="19" t="s">
        <v>557</v>
      </c>
      <c r="P10" s="19" t="s">
        <v>609</v>
      </c>
      <c r="Q10" s="19" t="s">
        <v>577</v>
      </c>
      <c r="R10" s="19" t="s">
        <v>616</v>
      </c>
      <c r="S10" s="19" t="s">
        <v>617</v>
      </c>
      <c r="T10" t="s">
        <v>139</v>
      </c>
      <c r="U10" s="22">
        <v>0</v>
      </c>
      <c r="V10" s="22">
        <v>0</v>
      </c>
      <c r="W10" s="22">
        <v>0</v>
      </c>
      <c r="X10" s="22">
        <v>0</v>
      </c>
      <c r="Y10" s="22">
        <v>0</v>
      </c>
      <c r="Z10" s="22">
        <v>0</v>
      </c>
      <c r="AA10" s="22">
        <v>0</v>
      </c>
      <c r="AB10" s="22">
        <v>0</v>
      </c>
      <c r="AC10" s="22">
        <v>0</v>
      </c>
      <c r="AD10" s="22">
        <v>0</v>
      </c>
      <c r="AE10" s="22">
        <v>0</v>
      </c>
      <c r="AF10" s="22">
        <f t="shared" si="0"/>
        <v>0</v>
      </c>
      <c r="AG10" s="22">
        <v>0</v>
      </c>
      <c r="AH10" s="22">
        <v>0</v>
      </c>
      <c r="AI10" t="s">
        <v>562</v>
      </c>
      <c r="AJ10" t="s">
        <v>563</v>
      </c>
    </row>
    <row r="11" spans="1:36" ht="116" outlineLevel="2" x14ac:dyDescent="0.35">
      <c r="A11" s="19" t="s">
        <v>551</v>
      </c>
      <c r="B11" s="19" t="s">
        <v>572</v>
      </c>
      <c r="C11" s="19" t="s">
        <v>573</v>
      </c>
      <c r="D11" s="19">
        <v>2021</v>
      </c>
      <c r="E11" s="19" t="s">
        <v>554</v>
      </c>
      <c r="F11" s="19">
        <v>80091500</v>
      </c>
      <c r="G11" s="19" t="s">
        <v>618</v>
      </c>
      <c r="H11" s="19" t="s">
        <v>619</v>
      </c>
      <c r="I11" s="19" t="s">
        <v>31</v>
      </c>
      <c r="J11" s="20">
        <v>1</v>
      </c>
      <c r="K11" s="21">
        <v>44698</v>
      </c>
      <c r="L11" s="21">
        <v>44721</v>
      </c>
      <c r="M11" s="21">
        <v>44795</v>
      </c>
      <c r="N11" s="24" t="s">
        <v>2448</v>
      </c>
      <c r="O11" s="19" t="s">
        <v>557</v>
      </c>
      <c r="P11" s="19" t="s">
        <v>568</v>
      </c>
      <c r="Q11" s="19" t="s">
        <v>569</v>
      </c>
      <c r="R11" s="19" t="s">
        <v>570</v>
      </c>
      <c r="S11" s="19" t="s">
        <v>620</v>
      </c>
      <c r="T11" t="s">
        <v>139</v>
      </c>
      <c r="U11" s="22">
        <v>0</v>
      </c>
      <c r="V11" s="22">
        <v>0</v>
      </c>
      <c r="W11" s="22">
        <v>0</v>
      </c>
      <c r="X11" s="22">
        <v>0</v>
      </c>
      <c r="Y11" s="22">
        <v>0</v>
      </c>
      <c r="Z11" s="22">
        <v>0</v>
      </c>
      <c r="AA11" s="22">
        <v>0</v>
      </c>
      <c r="AB11" s="22">
        <v>0</v>
      </c>
      <c r="AC11" s="22">
        <v>0</v>
      </c>
      <c r="AD11" s="22">
        <v>0</v>
      </c>
      <c r="AE11" s="22">
        <v>0</v>
      </c>
      <c r="AF11" s="22">
        <f t="shared" si="0"/>
        <v>0</v>
      </c>
      <c r="AG11" s="22">
        <v>0</v>
      </c>
      <c r="AH11" s="22">
        <v>0</v>
      </c>
      <c r="AI11" t="s">
        <v>562</v>
      </c>
      <c r="AJ11" t="s">
        <v>563</v>
      </c>
    </row>
    <row r="12" spans="1:36" ht="130.5" outlineLevel="2" x14ac:dyDescent="0.35">
      <c r="A12" s="19" t="s">
        <v>551</v>
      </c>
      <c r="B12" s="19" t="s">
        <v>621</v>
      </c>
      <c r="C12" s="19" t="s">
        <v>622</v>
      </c>
      <c r="D12" s="19">
        <v>2021</v>
      </c>
      <c r="E12" s="19" t="s">
        <v>554</v>
      </c>
      <c r="F12" s="19">
        <v>80091542</v>
      </c>
      <c r="G12" s="19" t="s">
        <v>623</v>
      </c>
      <c r="H12" s="19" t="s">
        <v>624</v>
      </c>
      <c r="I12" s="19" t="s">
        <v>31</v>
      </c>
      <c r="J12" s="20">
        <v>1</v>
      </c>
      <c r="K12" s="21">
        <v>44693</v>
      </c>
      <c r="L12" s="21">
        <v>44704</v>
      </c>
      <c r="M12" s="21">
        <v>44725</v>
      </c>
      <c r="N12" s="24" t="s">
        <v>2448</v>
      </c>
      <c r="O12" s="19" t="s">
        <v>557</v>
      </c>
      <c r="P12" s="19" t="s">
        <v>568</v>
      </c>
      <c r="Q12" s="19" t="s">
        <v>625</v>
      </c>
      <c r="R12" s="19" t="s">
        <v>578</v>
      </c>
      <c r="S12" s="19" t="s">
        <v>626</v>
      </c>
      <c r="T12" t="s">
        <v>69</v>
      </c>
      <c r="U12" s="22">
        <v>0</v>
      </c>
      <c r="V12" s="22">
        <v>0</v>
      </c>
      <c r="W12" s="22">
        <v>492.96</v>
      </c>
      <c r="X12" s="22">
        <v>0</v>
      </c>
      <c r="Y12" s="22">
        <v>37.35</v>
      </c>
      <c r="Z12" s="22">
        <v>0</v>
      </c>
      <c r="AA12" s="22">
        <v>0</v>
      </c>
      <c r="AB12" s="22">
        <v>0</v>
      </c>
      <c r="AC12" s="22">
        <v>0</v>
      </c>
      <c r="AD12" s="22">
        <v>0</v>
      </c>
      <c r="AE12" s="22">
        <v>530.30999999999995</v>
      </c>
      <c r="AF12" s="22">
        <f t="shared" si="0"/>
        <v>530.30999999999995</v>
      </c>
      <c r="AG12" s="22">
        <v>0</v>
      </c>
      <c r="AH12" s="22">
        <v>530.30999999999995</v>
      </c>
      <c r="AI12" t="s">
        <v>562</v>
      </c>
      <c r="AJ12" t="s">
        <v>563</v>
      </c>
    </row>
    <row r="13" spans="1:36" ht="116" outlineLevel="2" x14ac:dyDescent="0.35">
      <c r="A13" s="19" t="s">
        <v>551</v>
      </c>
      <c r="B13" s="19" t="s">
        <v>627</v>
      </c>
      <c r="C13" s="19" t="s">
        <v>628</v>
      </c>
      <c r="D13" s="19">
        <v>2021</v>
      </c>
      <c r="E13" s="19" t="s">
        <v>554</v>
      </c>
      <c r="F13" s="19">
        <v>80091525</v>
      </c>
      <c r="G13" s="19" t="s">
        <v>629</v>
      </c>
      <c r="H13" s="19" t="s">
        <v>630</v>
      </c>
      <c r="I13" s="19" t="s">
        <v>31</v>
      </c>
      <c r="J13" s="20">
        <v>1</v>
      </c>
      <c r="K13" s="21">
        <v>44692</v>
      </c>
      <c r="L13" s="21">
        <v>44727</v>
      </c>
      <c r="M13" s="21">
        <v>44882</v>
      </c>
      <c r="N13" s="24" t="s">
        <v>2448</v>
      </c>
      <c r="O13" s="19" t="s">
        <v>557</v>
      </c>
      <c r="P13" s="19" t="s">
        <v>576</v>
      </c>
      <c r="Q13" s="19" t="s">
        <v>584</v>
      </c>
      <c r="R13" s="19" t="s">
        <v>560</v>
      </c>
      <c r="S13" s="19" t="s">
        <v>631</v>
      </c>
      <c r="T13" t="s">
        <v>33</v>
      </c>
      <c r="U13" s="22">
        <v>0</v>
      </c>
      <c r="V13" s="22">
        <v>0</v>
      </c>
      <c r="W13" s="22">
        <v>1065.3399999999999</v>
      </c>
      <c r="X13" s="22">
        <v>0</v>
      </c>
      <c r="Y13" s="22">
        <v>9.5</v>
      </c>
      <c r="Z13" s="22">
        <v>0</v>
      </c>
      <c r="AA13" s="22">
        <v>0</v>
      </c>
      <c r="AB13" s="22">
        <v>0</v>
      </c>
      <c r="AC13" s="22">
        <v>0</v>
      </c>
      <c r="AD13" s="22">
        <v>0</v>
      </c>
      <c r="AE13" s="22">
        <v>1074.8399999999999</v>
      </c>
      <c r="AF13" s="22">
        <f t="shared" si="0"/>
        <v>1074.8399999999999</v>
      </c>
      <c r="AG13" s="22">
        <v>0</v>
      </c>
      <c r="AH13" s="22">
        <v>1074.8399999999999</v>
      </c>
      <c r="AI13" t="s">
        <v>562</v>
      </c>
      <c r="AJ13" t="s">
        <v>563</v>
      </c>
    </row>
    <row r="14" spans="1:36" ht="43.5" outlineLevel="2" x14ac:dyDescent="0.35">
      <c r="A14" s="19" t="s">
        <v>551</v>
      </c>
      <c r="B14" s="19" t="s">
        <v>612</v>
      </c>
      <c r="C14" s="19" t="s">
        <v>613</v>
      </c>
      <c r="D14" s="19">
        <v>2021</v>
      </c>
      <c r="E14" s="19" t="s">
        <v>554</v>
      </c>
      <c r="F14" s="19">
        <v>80091502</v>
      </c>
      <c r="G14" s="19" t="s">
        <v>632</v>
      </c>
      <c r="H14" s="19" t="s">
        <v>633</v>
      </c>
      <c r="I14" s="19" t="s">
        <v>31</v>
      </c>
      <c r="J14" s="20">
        <v>1</v>
      </c>
      <c r="K14" s="21">
        <v>44679</v>
      </c>
      <c r="L14" s="21">
        <v>44753</v>
      </c>
      <c r="M14" s="21">
        <v>44949</v>
      </c>
      <c r="N14" s="24" t="s">
        <v>2448</v>
      </c>
      <c r="O14" s="19" t="s">
        <v>557</v>
      </c>
      <c r="P14" s="19" t="s">
        <v>576</v>
      </c>
      <c r="Q14" s="19" t="s">
        <v>634</v>
      </c>
      <c r="R14" s="19" t="s">
        <v>616</v>
      </c>
      <c r="S14" s="19" t="s">
        <v>635</v>
      </c>
      <c r="T14" t="s">
        <v>33</v>
      </c>
      <c r="U14" s="22">
        <v>0</v>
      </c>
      <c r="V14" s="22">
        <v>0</v>
      </c>
      <c r="W14" s="22">
        <v>1994.86</v>
      </c>
      <c r="X14" s="22">
        <v>0</v>
      </c>
      <c r="Y14" s="22">
        <v>138.62</v>
      </c>
      <c r="Z14" s="22">
        <v>0</v>
      </c>
      <c r="AA14" s="22">
        <v>0</v>
      </c>
      <c r="AB14" s="22">
        <v>0</v>
      </c>
      <c r="AC14" s="22">
        <v>0</v>
      </c>
      <c r="AD14" s="22">
        <v>0</v>
      </c>
      <c r="AE14" s="22">
        <v>2133.48</v>
      </c>
      <c r="AF14" s="22">
        <f t="shared" si="0"/>
        <v>2133.48</v>
      </c>
      <c r="AG14" s="22">
        <v>0</v>
      </c>
      <c r="AH14" s="22">
        <v>2133.48</v>
      </c>
      <c r="AI14" t="s">
        <v>562</v>
      </c>
      <c r="AJ14" t="s">
        <v>563</v>
      </c>
    </row>
    <row r="15" spans="1:36" ht="87" outlineLevel="2" x14ac:dyDescent="0.35">
      <c r="A15" s="19" t="s">
        <v>551</v>
      </c>
      <c r="B15" s="19" t="s">
        <v>636</v>
      </c>
      <c r="C15" s="19" t="s">
        <v>594</v>
      </c>
      <c r="D15" s="19">
        <v>2021</v>
      </c>
      <c r="E15" s="19" t="s">
        <v>554</v>
      </c>
      <c r="F15" s="19">
        <v>80091518</v>
      </c>
      <c r="G15" s="19" t="s">
        <v>637</v>
      </c>
      <c r="H15" s="19" t="s">
        <v>638</v>
      </c>
      <c r="I15" s="19" t="s">
        <v>31</v>
      </c>
      <c r="J15" s="20">
        <v>1</v>
      </c>
      <c r="K15" s="21">
        <v>44676</v>
      </c>
      <c r="L15" s="21">
        <v>44692</v>
      </c>
      <c r="M15" s="21">
        <v>44725</v>
      </c>
      <c r="N15" s="24" t="s">
        <v>2448</v>
      </c>
      <c r="O15" s="19" t="s">
        <v>557</v>
      </c>
      <c r="P15" s="19" t="s">
        <v>576</v>
      </c>
      <c r="Q15" s="19" t="s">
        <v>639</v>
      </c>
      <c r="R15" s="19" t="s">
        <v>640</v>
      </c>
      <c r="S15" s="19" t="s">
        <v>641</v>
      </c>
      <c r="T15" t="s">
        <v>33</v>
      </c>
      <c r="U15" s="22">
        <v>0</v>
      </c>
      <c r="V15" s="22">
        <v>0</v>
      </c>
      <c r="W15" s="22">
        <v>0</v>
      </c>
      <c r="X15" s="22">
        <v>0</v>
      </c>
      <c r="Y15" s="22">
        <v>0</v>
      </c>
      <c r="Z15" s="22">
        <v>0</v>
      </c>
      <c r="AA15" s="22">
        <v>0</v>
      </c>
      <c r="AB15" s="22">
        <v>0</v>
      </c>
      <c r="AC15" s="22">
        <v>0</v>
      </c>
      <c r="AD15" s="22">
        <v>0</v>
      </c>
      <c r="AE15" s="22">
        <v>0</v>
      </c>
      <c r="AF15" s="22">
        <f t="shared" si="0"/>
        <v>0</v>
      </c>
      <c r="AG15" s="22">
        <v>0</v>
      </c>
      <c r="AH15" s="22">
        <v>0</v>
      </c>
      <c r="AI15" t="s">
        <v>562</v>
      </c>
      <c r="AJ15" t="s">
        <v>563</v>
      </c>
    </row>
    <row r="16" spans="1:36" ht="130.5" outlineLevel="2" x14ac:dyDescent="0.35">
      <c r="A16" s="19" t="s">
        <v>551</v>
      </c>
      <c r="B16" s="19" t="s">
        <v>642</v>
      </c>
      <c r="C16" s="19" t="s">
        <v>643</v>
      </c>
      <c r="D16" s="19">
        <v>2021</v>
      </c>
      <c r="E16" s="19" t="s">
        <v>554</v>
      </c>
      <c r="F16" s="19">
        <v>80091530</v>
      </c>
      <c r="G16" s="19" t="s">
        <v>644</v>
      </c>
      <c r="H16" s="19" t="s">
        <v>645</v>
      </c>
      <c r="I16" s="19" t="s">
        <v>31</v>
      </c>
      <c r="J16" s="20">
        <v>1</v>
      </c>
      <c r="K16" s="21">
        <v>44676</v>
      </c>
      <c r="L16" s="21">
        <v>44693</v>
      </c>
      <c r="M16" s="21">
        <v>44718</v>
      </c>
      <c r="N16" s="24" t="s">
        <v>2448</v>
      </c>
      <c r="O16" s="19" t="s">
        <v>557</v>
      </c>
      <c r="P16" s="19" t="s">
        <v>576</v>
      </c>
      <c r="Q16" s="19" t="s">
        <v>634</v>
      </c>
      <c r="R16" s="19" t="s">
        <v>616</v>
      </c>
      <c r="S16" s="19" t="s">
        <v>646</v>
      </c>
      <c r="T16" t="s">
        <v>98</v>
      </c>
      <c r="U16" s="22">
        <v>0</v>
      </c>
      <c r="V16" s="22">
        <v>0</v>
      </c>
      <c r="W16" s="22">
        <v>213.46</v>
      </c>
      <c r="X16" s="22">
        <v>0</v>
      </c>
      <c r="Y16" s="22">
        <v>11.5</v>
      </c>
      <c r="Z16" s="22">
        <v>0</v>
      </c>
      <c r="AA16" s="22">
        <v>0</v>
      </c>
      <c r="AB16" s="22">
        <v>0</v>
      </c>
      <c r="AC16" s="22">
        <v>0</v>
      </c>
      <c r="AD16" s="22">
        <v>0</v>
      </c>
      <c r="AE16" s="22">
        <v>224.96</v>
      </c>
      <c r="AF16" s="22">
        <f t="shared" si="0"/>
        <v>224.96</v>
      </c>
      <c r="AG16" s="22">
        <v>0</v>
      </c>
      <c r="AH16" s="22">
        <v>224.96</v>
      </c>
      <c r="AI16" t="s">
        <v>562</v>
      </c>
      <c r="AJ16" t="s">
        <v>563</v>
      </c>
    </row>
    <row r="17" spans="1:36" ht="72.5" outlineLevel="2" x14ac:dyDescent="0.35">
      <c r="A17" s="19" t="s">
        <v>551</v>
      </c>
      <c r="B17" s="19" t="s">
        <v>636</v>
      </c>
      <c r="C17" s="19" t="s">
        <v>594</v>
      </c>
      <c r="D17" s="19">
        <v>2021</v>
      </c>
      <c r="E17" s="19" t="s">
        <v>554</v>
      </c>
      <c r="F17" s="19">
        <v>80091699</v>
      </c>
      <c r="G17" s="19" t="s">
        <v>647</v>
      </c>
      <c r="H17" s="19" t="s">
        <v>648</v>
      </c>
      <c r="I17" s="19" t="s">
        <v>31</v>
      </c>
      <c r="J17" s="20">
        <v>1</v>
      </c>
      <c r="K17" s="21">
        <v>44652</v>
      </c>
      <c r="L17" s="21">
        <v>44652</v>
      </c>
      <c r="M17" s="21">
        <v>44886</v>
      </c>
      <c r="N17" s="24" t="s">
        <v>2448</v>
      </c>
      <c r="O17" s="19" t="s">
        <v>557</v>
      </c>
      <c r="P17" s="19" t="s">
        <v>609</v>
      </c>
      <c r="Q17" s="19" t="s">
        <v>649</v>
      </c>
      <c r="R17" s="19" t="s">
        <v>650</v>
      </c>
      <c r="S17" s="19" t="s">
        <v>651</v>
      </c>
      <c r="T17" t="s">
        <v>33</v>
      </c>
      <c r="U17" s="22">
        <v>13950.56</v>
      </c>
      <c r="V17" s="22">
        <v>0</v>
      </c>
      <c r="W17" s="22">
        <v>6242.87</v>
      </c>
      <c r="X17" s="22">
        <v>0</v>
      </c>
      <c r="Y17" s="22">
        <v>646.92999999999995</v>
      </c>
      <c r="Z17" s="22">
        <v>0</v>
      </c>
      <c r="AA17" s="22">
        <v>0</v>
      </c>
      <c r="AB17" s="22">
        <v>0</v>
      </c>
      <c r="AC17" s="22">
        <v>0</v>
      </c>
      <c r="AD17" s="22">
        <v>0</v>
      </c>
      <c r="AE17" s="22">
        <v>20840.36</v>
      </c>
      <c r="AF17" s="22">
        <f t="shared" si="0"/>
        <v>20840.36</v>
      </c>
      <c r="AG17" s="22">
        <v>0</v>
      </c>
      <c r="AH17" s="22">
        <v>20840.36</v>
      </c>
      <c r="AI17" t="s">
        <v>562</v>
      </c>
      <c r="AJ17" t="s">
        <v>563</v>
      </c>
    </row>
    <row r="18" spans="1:36" ht="116" outlineLevel="2" x14ac:dyDescent="0.35">
      <c r="A18" s="19" t="s">
        <v>551</v>
      </c>
      <c r="B18" s="19" t="s">
        <v>652</v>
      </c>
      <c r="C18" s="19" t="s">
        <v>600</v>
      </c>
      <c r="D18" s="19">
        <v>2021</v>
      </c>
      <c r="E18" s="19" t="s">
        <v>554</v>
      </c>
      <c r="F18" s="19">
        <v>80091514</v>
      </c>
      <c r="G18" s="19" t="s">
        <v>653</v>
      </c>
      <c r="H18" s="19" t="s">
        <v>654</v>
      </c>
      <c r="I18" s="19" t="s">
        <v>31</v>
      </c>
      <c r="J18" s="20">
        <v>1</v>
      </c>
      <c r="K18" s="21">
        <v>44642</v>
      </c>
      <c r="L18" s="21">
        <v>44645</v>
      </c>
      <c r="M18" s="21">
        <v>44663</v>
      </c>
      <c r="N18" s="24" t="s">
        <v>2448</v>
      </c>
      <c r="O18" s="19" t="s">
        <v>557</v>
      </c>
      <c r="P18" s="19" t="s">
        <v>568</v>
      </c>
      <c r="Q18" s="19" t="s">
        <v>655</v>
      </c>
      <c r="R18" s="19" t="s">
        <v>578</v>
      </c>
      <c r="S18" s="19" t="s">
        <v>656</v>
      </c>
      <c r="T18" t="s">
        <v>51</v>
      </c>
      <c r="U18" s="22">
        <v>0</v>
      </c>
      <c r="V18" s="22">
        <v>0</v>
      </c>
      <c r="W18" s="22">
        <v>379.45</v>
      </c>
      <c r="X18" s="22">
        <v>0</v>
      </c>
      <c r="Y18" s="22">
        <v>40.04</v>
      </c>
      <c r="Z18" s="22">
        <v>0</v>
      </c>
      <c r="AA18" s="22">
        <v>0</v>
      </c>
      <c r="AB18" s="22">
        <v>0</v>
      </c>
      <c r="AC18" s="22">
        <v>0</v>
      </c>
      <c r="AD18" s="22">
        <v>0</v>
      </c>
      <c r="AE18" s="22">
        <v>419.49</v>
      </c>
      <c r="AF18" s="22">
        <f t="shared" si="0"/>
        <v>419.49</v>
      </c>
      <c r="AG18" s="22">
        <v>0</v>
      </c>
      <c r="AH18" s="22">
        <v>419.49</v>
      </c>
      <c r="AI18" t="s">
        <v>562</v>
      </c>
      <c r="AJ18" t="s">
        <v>657</v>
      </c>
    </row>
    <row r="19" spans="1:36" ht="72.5" outlineLevel="2" x14ac:dyDescent="0.35">
      <c r="A19" s="19" t="s">
        <v>551</v>
      </c>
      <c r="B19" s="19" t="s">
        <v>658</v>
      </c>
      <c r="C19" s="19" t="s">
        <v>643</v>
      </c>
      <c r="D19" s="19">
        <v>2021</v>
      </c>
      <c r="E19" s="19" t="s">
        <v>554</v>
      </c>
      <c r="F19" s="19">
        <v>80091501</v>
      </c>
      <c r="G19" s="19" t="s">
        <v>659</v>
      </c>
      <c r="H19" s="19" t="s">
        <v>660</v>
      </c>
      <c r="I19" s="19" t="s">
        <v>31</v>
      </c>
      <c r="J19" s="20">
        <v>1</v>
      </c>
      <c r="K19" s="21">
        <v>44614</v>
      </c>
      <c r="L19" s="21">
        <v>44620</v>
      </c>
      <c r="M19" s="21">
        <v>44679</v>
      </c>
      <c r="N19" s="24" t="s">
        <v>2448</v>
      </c>
      <c r="O19" s="19" t="s">
        <v>557</v>
      </c>
      <c r="P19" s="19" t="s">
        <v>558</v>
      </c>
      <c r="Q19" s="19" t="s">
        <v>661</v>
      </c>
      <c r="R19" s="19" t="s">
        <v>570</v>
      </c>
      <c r="S19" s="19" t="s">
        <v>662</v>
      </c>
      <c r="T19" t="s">
        <v>33</v>
      </c>
      <c r="U19" s="22">
        <v>0</v>
      </c>
      <c r="V19" s="22">
        <v>0</v>
      </c>
      <c r="W19" s="22">
        <v>427.17</v>
      </c>
      <c r="X19" s="22">
        <v>0</v>
      </c>
      <c r="Y19" s="22">
        <v>145.97999999999999</v>
      </c>
      <c r="Z19" s="22">
        <v>0</v>
      </c>
      <c r="AA19" s="22">
        <v>0</v>
      </c>
      <c r="AB19" s="22">
        <v>0</v>
      </c>
      <c r="AC19" s="22">
        <v>0</v>
      </c>
      <c r="AD19" s="22">
        <v>0</v>
      </c>
      <c r="AE19" s="22">
        <v>573.15</v>
      </c>
      <c r="AF19" s="22">
        <f t="shared" si="0"/>
        <v>573.15</v>
      </c>
      <c r="AG19" s="22">
        <v>0</v>
      </c>
      <c r="AH19" s="22">
        <v>573.15</v>
      </c>
      <c r="AI19" t="s">
        <v>562</v>
      </c>
      <c r="AJ19" t="s">
        <v>563</v>
      </c>
    </row>
    <row r="20" spans="1:36" ht="72.5" outlineLevel="2" x14ac:dyDescent="0.35">
      <c r="A20" s="19" t="s">
        <v>551</v>
      </c>
      <c r="B20" s="19" t="s">
        <v>636</v>
      </c>
      <c r="C20" s="19" t="s">
        <v>594</v>
      </c>
      <c r="D20" s="19">
        <v>2021</v>
      </c>
      <c r="E20" s="19" t="s">
        <v>554</v>
      </c>
      <c r="F20" s="19">
        <v>80088145</v>
      </c>
      <c r="G20" s="19" t="s">
        <v>663</v>
      </c>
      <c r="H20" s="19" t="s">
        <v>664</v>
      </c>
      <c r="I20" s="19" t="s">
        <v>31</v>
      </c>
      <c r="J20" s="20">
        <v>1</v>
      </c>
      <c r="K20" s="21">
        <v>44613</v>
      </c>
      <c r="L20" s="21">
        <v>44614</v>
      </c>
      <c r="M20" s="21">
        <v>45602</v>
      </c>
      <c r="N20" s="24" t="s">
        <v>2448</v>
      </c>
      <c r="O20" s="19" t="s">
        <v>557</v>
      </c>
      <c r="P20" s="19" t="s">
        <v>665</v>
      </c>
      <c r="Q20" s="19" t="s">
        <v>666</v>
      </c>
      <c r="R20" s="19" t="s">
        <v>591</v>
      </c>
      <c r="S20" s="19" t="s">
        <v>667</v>
      </c>
      <c r="T20" t="s">
        <v>33</v>
      </c>
      <c r="U20" s="22">
        <v>70000</v>
      </c>
      <c r="V20" s="22">
        <v>0</v>
      </c>
      <c r="W20" s="22">
        <v>34681.51</v>
      </c>
      <c r="X20" s="22">
        <v>0</v>
      </c>
      <c r="Y20" s="22">
        <v>6481.98</v>
      </c>
      <c r="Z20" s="22">
        <v>0</v>
      </c>
      <c r="AA20" s="22">
        <v>-4706.01</v>
      </c>
      <c r="AB20" s="22">
        <v>-711</v>
      </c>
      <c r="AC20" s="22">
        <v>0</v>
      </c>
      <c r="AD20" s="22">
        <v>0</v>
      </c>
      <c r="AE20" s="22">
        <v>111163.49</v>
      </c>
      <c r="AF20" s="22">
        <f t="shared" si="0"/>
        <v>105746.48000000001</v>
      </c>
      <c r="AG20" s="22">
        <v>0</v>
      </c>
      <c r="AH20" s="22">
        <v>105746.48</v>
      </c>
      <c r="AI20" t="s">
        <v>562</v>
      </c>
      <c r="AJ20" t="s">
        <v>563</v>
      </c>
    </row>
    <row r="21" spans="1:36" ht="43.5" outlineLevel="2" x14ac:dyDescent="0.35">
      <c r="A21" s="19" t="s">
        <v>551</v>
      </c>
      <c r="B21" s="19" t="s">
        <v>580</v>
      </c>
      <c r="C21" s="19" t="s">
        <v>581</v>
      </c>
      <c r="D21" s="19">
        <v>2021</v>
      </c>
      <c r="E21" s="19" t="s">
        <v>554</v>
      </c>
      <c r="F21" s="19">
        <v>80083027</v>
      </c>
      <c r="G21" s="19" t="s">
        <v>668</v>
      </c>
      <c r="H21" s="19" t="s">
        <v>669</v>
      </c>
      <c r="I21" s="19" t="s">
        <v>31</v>
      </c>
      <c r="J21" s="20">
        <v>1</v>
      </c>
      <c r="K21" s="21">
        <v>44610</v>
      </c>
      <c r="L21" s="21">
        <v>44610</v>
      </c>
      <c r="M21" s="21">
        <v>45458</v>
      </c>
      <c r="N21" s="24" t="s">
        <v>2448</v>
      </c>
      <c r="O21" s="19" t="s">
        <v>557</v>
      </c>
      <c r="P21" s="19" t="s">
        <v>558</v>
      </c>
      <c r="Q21" s="19" t="s">
        <v>584</v>
      </c>
      <c r="R21" s="19" t="s">
        <v>670</v>
      </c>
      <c r="S21" s="19" t="s">
        <v>671</v>
      </c>
      <c r="T21" t="s">
        <v>51</v>
      </c>
      <c r="U21" s="22">
        <v>3450</v>
      </c>
      <c r="V21" s="22">
        <v>0</v>
      </c>
      <c r="W21" s="22">
        <v>8568.75</v>
      </c>
      <c r="X21" s="22">
        <v>0</v>
      </c>
      <c r="Y21" s="22">
        <v>4874.1899999999996</v>
      </c>
      <c r="Z21" s="22">
        <v>0</v>
      </c>
      <c r="AA21" s="22">
        <v>0</v>
      </c>
      <c r="AB21" s="22">
        <v>0</v>
      </c>
      <c r="AC21" s="22">
        <v>0</v>
      </c>
      <c r="AD21" s="22">
        <v>-14.39</v>
      </c>
      <c r="AE21" s="22">
        <v>16892.939999999999</v>
      </c>
      <c r="AF21" s="22">
        <f t="shared" si="0"/>
        <v>16892.939999999999</v>
      </c>
      <c r="AG21" s="22">
        <v>0</v>
      </c>
      <c r="AH21" s="22">
        <v>16892.939999999999</v>
      </c>
      <c r="AI21" t="s">
        <v>562</v>
      </c>
      <c r="AJ21" t="s">
        <v>563</v>
      </c>
    </row>
    <row r="22" spans="1:36" ht="43.5" outlineLevel="2" x14ac:dyDescent="0.35">
      <c r="A22" s="19" t="s">
        <v>551</v>
      </c>
      <c r="B22" s="19" t="s">
        <v>672</v>
      </c>
      <c r="C22" s="19" t="s">
        <v>673</v>
      </c>
      <c r="D22" s="19">
        <v>2021</v>
      </c>
      <c r="E22" s="19" t="s">
        <v>554</v>
      </c>
      <c r="F22" s="19">
        <v>80083109</v>
      </c>
      <c r="G22" s="19" t="s">
        <v>674</v>
      </c>
      <c r="H22" s="19" t="s">
        <v>675</v>
      </c>
      <c r="I22" s="19" t="s">
        <v>31</v>
      </c>
      <c r="J22" s="20">
        <v>1</v>
      </c>
      <c r="K22" s="21">
        <v>44610</v>
      </c>
      <c r="L22" s="21">
        <v>44610</v>
      </c>
      <c r="M22" s="21">
        <v>45530</v>
      </c>
      <c r="N22" s="24" t="s">
        <v>2448</v>
      </c>
      <c r="O22" s="19" t="s">
        <v>557</v>
      </c>
      <c r="P22" s="19" t="s">
        <v>558</v>
      </c>
      <c r="Q22" s="19" t="s">
        <v>584</v>
      </c>
      <c r="R22" s="19" t="s">
        <v>616</v>
      </c>
      <c r="S22" s="19" t="s">
        <v>676</v>
      </c>
      <c r="T22" t="s">
        <v>51</v>
      </c>
      <c r="U22" s="22">
        <v>0</v>
      </c>
      <c r="V22" s="22">
        <v>0</v>
      </c>
      <c r="W22" s="22">
        <v>0</v>
      </c>
      <c r="X22" s="22">
        <v>0</v>
      </c>
      <c r="Y22" s="22">
        <v>654.02</v>
      </c>
      <c r="Z22" s="22">
        <v>0</v>
      </c>
      <c r="AA22" s="22">
        <v>0</v>
      </c>
      <c r="AB22" s="22">
        <v>0</v>
      </c>
      <c r="AC22" s="22">
        <v>0</v>
      </c>
      <c r="AD22" s="22">
        <v>0</v>
      </c>
      <c r="AE22" s="22">
        <v>654.02</v>
      </c>
      <c r="AF22" s="22">
        <f t="shared" si="0"/>
        <v>654.02</v>
      </c>
      <c r="AG22" s="22">
        <v>0</v>
      </c>
      <c r="AH22" s="22">
        <v>654.02</v>
      </c>
      <c r="AI22" t="s">
        <v>562</v>
      </c>
      <c r="AJ22" t="s">
        <v>563</v>
      </c>
    </row>
    <row r="23" spans="1:36" ht="72.5" outlineLevel="2" x14ac:dyDescent="0.35">
      <c r="A23" s="19" t="s">
        <v>551</v>
      </c>
      <c r="B23" s="19" t="s">
        <v>658</v>
      </c>
      <c r="C23" s="19" t="s">
        <v>643</v>
      </c>
      <c r="D23" s="19">
        <v>2021</v>
      </c>
      <c r="E23" s="19" t="s">
        <v>554</v>
      </c>
      <c r="F23" s="19">
        <v>80091528</v>
      </c>
      <c r="G23" s="19" t="s">
        <v>677</v>
      </c>
      <c r="H23" s="19" t="s">
        <v>678</v>
      </c>
      <c r="I23" s="19" t="s">
        <v>31</v>
      </c>
      <c r="J23" s="20">
        <v>1</v>
      </c>
      <c r="K23" s="21">
        <v>44609</v>
      </c>
      <c r="L23" s="21">
        <v>44613</v>
      </c>
      <c r="M23" s="21">
        <v>45539</v>
      </c>
      <c r="N23" s="24" t="s">
        <v>2448</v>
      </c>
      <c r="O23" s="19" t="s">
        <v>603</v>
      </c>
      <c r="P23" s="19" t="s">
        <v>665</v>
      </c>
      <c r="Q23" s="19" t="s">
        <v>569</v>
      </c>
      <c r="R23" s="19" t="s">
        <v>591</v>
      </c>
      <c r="S23" s="19" t="s">
        <v>679</v>
      </c>
      <c r="T23" t="s">
        <v>62</v>
      </c>
      <c r="U23" s="22">
        <v>0</v>
      </c>
      <c r="V23" s="22">
        <v>0</v>
      </c>
      <c r="W23" s="22">
        <v>8395.33</v>
      </c>
      <c r="X23" s="22">
        <v>0</v>
      </c>
      <c r="Y23" s="22">
        <v>2884.15</v>
      </c>
      <c r="Z23" s="22">
        <v>0</v>
      </c>
      <c r="AA23" s="22">
        <v>0</v>
      </c>
      <c r="AB23" s="22">
        <v>-726.48</v>
      </c>
      <c r="AC23" s="22">
        <v>0</v>
      </c>
      <c r="AD23" s="22">
        <v>-25.54</v>
      </c>
      <c r="AE23" s="22">
        <v>11279.48</v>
      </c>
      <c r="AF23" s="22">
        <f t="shared" si="0"/>
        <v>10553</v>
      </c>
      <c r="AG23" s="22">
        <v>0</v>
      </c>
      <c r="AH23" s="22">
        <v>10553</v>
      </c>
      <c r="AI23" t="s">
        <v>562</v>
      </c>
      <c r="AJ23" t="s">
        <v>563</v>
      </c>
    </row>
    <row r="24" spans="1:36" ht="116" outlineLevel="2" x14ac:dyDescent="0.35">
      <c r="A24" s="19" t="s">
        <v>551</v>
      </c>
      <c r="B24" s="19" t="s">
        <v>680</v>
      </c>
      <c r="C24" s="19" t="s">
        <v>553</v>
      </c>
      <c r="D24" s="19">
        <v>2021</v>
      </c>
      <c r="E24" s="19" t="s">
        <v>554</v>
      </c>
      <c r="F24" s="19">
        <v>80091506</v>
      </c>
      <c r="G24" s="19" t="s">
        <v>681</v>
      </c>
      <c r="H24" s="19" t="s">
        <v>682</v>
      </c>
      <c r="I24" s="19" t="s">
        <v>31</v>
      </c>
      <c r="J24" s="20">
        <v>1</v>
      </c>
      <c r="K24" s="21">
        <v>44594</v>
      </c>
      <c r="L24" s="21">
        <v>44662</v>
      </c>
      <c r="M24" s="21">
        <v>44700</v>
      </c>
      <c r="N24" s="24" t="s">
        <v>2448</v>
      </c>
      <c r="O24" s="19" t="s">
        <v>557</v>
      </c>
      <c r="P24" s="19" t="s">
        <v>576</v>
      </c>
      <c r="Q24" s="19" t="s">
        <v>683</v>
      </c>
      <c r="R24" s="19" t="s">
        <v>578</v>
      </c>
      <c r="S24" s="19" t="s">
        <v>684</v>
      </c>
      <c r="T24" t="s">
        <v>45</v>
      </c>
      <c r="U24" s="22">
        <v>0</v>
      </c>
      <c r="V24" s="22">
        <v>0</v>
      </c>
      <c r="W24" s="22">
        <v>1693.08</v>
      </c>
      <c r="X24" s="22">
        <v>0</v>
      </c>
      <c r="Y24" s="22">
        <v>34.47</v>
      </c>
      <c r="Z24" s="22">
        <v>0</v>
      </c>
      <c r="AA24" s="22">
        <v>0</v>
      </c>
      <c r="AB24" s="22">
        <v>0</v>
      </c>
      <c r="AC24" s="22">
        <v>0</v>
      </c>
      <c r="AD24" s="22">
        <v>0</v>
      </c>
      <c r="AE24" s="22">
        <v>1727.55</v>
      </c>
      <c r="AF24" s="22">
        <f t="shared" si="0"/>
        <v>1727.55</v>
      </c>
      <c r="AG24" s="22">
        <v>0</v>
      </c>
      <c r="AH24" s="22">
        <v>1727.55</v>
      </c>
      <c r="AI24" t="s">
        <v>562</v>
      </c>
      <c r="AJ24" t="s">
        <v>563</v>
      </c>
    </row>
    <row r="25" spans="1:36" ht="58" outlineLevel="2" x14ac:dyDescent="0.35">
      <c r="A25" s="19" t="s">
        <v>551</v>
      </c>
      <c r="B25" s="19" t="s">
        <v>672</v>
      </c>
      <c r="C25" s="19" t="s">
        <v>685</v>
      </c>
      <c r="D25" s="19">
        <v>2021</v>
      </c>
      <c r="E25" s="19" t="s">
        <v>554</v>
      </c>
      <c r="F25" s="19">
        <v>80220512</v>
      </c>
      <c r="G25" s="19" t="s">
        <v>686</v>
      </c>
      <c r="I25" s="19" t="s">
        <v>687</v>
      </c>
      <c r="J25" s="20">
        <v>1</v>
      </c>
      <c r="K25" s="21">
        <v>44594</v>
      </c>
      <c r="L25" s="21">
        <v>44594</v>
      </c>
      <c r="N25" s="24" t="s">
        <v>2448</v>
      </c>
      <c r="O25" s="19" t="s">
        <v>557</v>
      </c>
      <c r="P25" s="19" t="s">
        <v>688</v>
      </c>
      <c r="Q25" s="19" t="s">
        <v>666</v>
      </c>
      <c r="R25" s="19" t="s">
        <v>689</v>
      </c>
      <c r="S25" s="19" t="s">
        <v>690</v>
      </c>
      <c r="T25" t="s">
        <v>51</v>
      </c>
      <c r="U25" s="22">
        <v>0</v>
      </c>
      <c r="V25" s="22">
        <v>7000</v>
      </c>
      <c r="W25" s="22">
        <v>0</v>
      </c>
      <c r="X25" s="22">
        <v>7500</v>
      </c>
      <c r="Y25" s="22">
        <v>0</v>
      </c>
      <c r="Z25" s="22">
        <v>10000</v>
      </c>
      <c r="AA25" s="22">
        <v>0</v>
      </c>
      <c r="AB25" s="22">
        <v>0</v>
      </c>
      <c r="AC25" s="22">
        <v>0</v>
      </c>
      <c r="AD25" s="22">
        <v>0</v>
      </c>
      <c r="AE25" s="22">
        <v>0</v>
      </c>
      <c r="AF25" s="22">
        <f t="shared" si="0"/>
        <v>0</v>
      </c>
      <c r="AG25" s="22">
        <v>24500</v>
      </c>
      <c r="AH25" s="22">
        <v>24500</v>
      </c>
      <c r="AI25" t="s">
        <v>562</v>
      </c>
      <c r="AJ25" t="s">
        <v>563</v>
      </c>
    </row>
    <row r="26" spans="1:36" ht="130.5" outlineLevel="2" x14ac:dyDescent="0.35">
      <c r="A26" s="19" t="s">
        <v>551</v>
      </c>
      <c r="B26" s="19" t="s">
        <v>564</v>
      </c>
      <c r="C26" s="19" t="s">
        <v>565</v>
      </c>
      <c r="D26" s="19">
        <v>2021</v>
      </c>
      <c r="E26" s="19" t="s">
        <v>554</v>
      </c>
      <c r="F26" s="19">
        <v>80091527</v>
      </c>
      <c r="G26" s="19" t="s">
        <v>691</v>
      </c>
      <c r="H26" s="19" t="s">
        <v>692</v>
      </c>
      <c r="I26" s="19" t="s">
        <v>31</v>
      </c>
      <c r="J26" s="20">
        <v>1</v>
      </c>
      <c r="K26" s="21">
        <v>44592</v>
      </c>
      <c r="L26" s="21">
        <v>44602</v>
      </c>
      <c r="M26" s="21">
        <v>44946</v>
      </c>
      <c r="N26" s="24" t="s">
        <v>2448</v>
      </c>
      <c r="O26" s="19" t="s">
        <v>557</v>
      </c>
      <c r="P26" s="19" t="s">
        <v>665</v>
      </c>
      <c r="Q26" s="19" t="s">
        <v>597</v>
      </c>
      <c r="R26" s="19" t="s">
        <v>570</v>
      </c>
      <c r="S26" s="19" t="s">
        <v>693</v>
      </c>
      <c r="T26" t="s">
        <v>51</v>
      </c>
      <c r="U26" s="22">
        <v>0</v>
      </c>
      <c r="V26" s="22">
        <v>0</v>
      </c>
      <c r="W26" s="22">
        <v>1221.3599999999999</v>
      </c>
      <c r="X26" s="22">
        <v>0</v>
      </c>
      <c r="Y26" s="22">
        <v>109</v>
      </c>
      <c r="Z26" s="22">
        <v>0</v>
      </c>
      <c r="AA26" s="22">
        <v>0</v>
      </c>
      <c r="AB26" s="22">
        <v>-158.18</v>
      </c>
      <c r="AC26" s="22">
        <v>0</v>
      </c>
      <c r="AD26" s="22">
        <v>0</v>
      </c>
      <c r="AE26" s="22">
        <v>1330.36</v>
      </c>
      <c r="AF26" s="22">
        <f t="shared" si="0"/>
        <v>1172.1799999999998</v>
      </c>
      <c r="AG26" s="22">
        <v>0</v>
      </c>
      <c r="AH26" s="22">
        <v>1172.18</v>
      </c>
      <c r="AI26" t="s">
        <v>562</v>
      </c>
      <c r="AJ26" t="s">
        <v>563</v>
      </c>
    </row>
    <row r="27" spans="1:36" ht="87" outlineLevel="2" x14ac:dyDescent="0.35">
      <c r="A27" s="19" t="s">
        <v>551</v>
      </c>
      <c r="B27" s="19" t="s">
        <v>621</v>
      </c>
      <c r="C27" s="19" t="s">
        <v>622</v>
      </c>
      <c r="D27" s="19">
        <v>2021</v>
      </c>
      <c r="E27" s="19" t="s">
        <v>554</v>
      </c>
      <c r="F27" s="19">
        <v>80091482</v>
      </c>
      <c r="G27" s="19" t="s">
        <v>694</v>
      </c>
      <c r="H27" s="19" t="s">
        <v>695</v>
      </c>
      <c r="I27" s="19" t="s">
        <v>31</v>
      </c>
      <c r="J27" s="20">
        <v>1</v>
      </c>
      <c r="K27" s="21">
        <v>44586</v>
      </c>
      <c r="L27" s="21">
        <v>44617</v>
      </c>
      <c r="M27" s="21">
        <v>44622</v>
      </c>
      <c r="N27" s="24" t="s">
        <v>2448</v>
      </c>
      <c r="O27" s="19" t="s">
        <v>557</v>
      </c>
      <c r="P27" s="19" t="s">
        <v>665</v>
      </c>
      <c r="Q27" s="19" t="s">
        <v>569</v>
      </c>
      <c r="R27" s="19" t="s">
        <v>570</v>
      </c>
      <c r="S27" s="19" t="s">
        <v>696</v>
      </c>
      <c r="T27" t="s">
        <v>33</v>
      </c>
      <c r="U27" s="22">
        <v>0</v>
      </c>
      <c r="V27" s="22">
        <v>0</v>
      </c>
      <c r="W27" s="22">
        <v>680.26</v>
      </c>
      <c r="X27" s="22">
        <v>0</v>
      </c>
      <c r="Y27" s="22">
        <v>74.8</v>
      </c>
      <c r="Z27" s="22">
        <v>0</v>
      </c>
      <c r="AA27" s="22">
        <v>0</v>
      </c>
      <c r="AB27" s="22">
        <v>0</v>
      </c>
      <c r="AC27" s="22">
        <v>0</v>
      </c>
      <c r="AD27" s="22">
        <v>0</v>
      </c>
      <c r="AE27" s="22">
        <v>755.06</v>
      </c>
      <c r="AF27" s="22">
        <f t="shared" si="0"/>
        <v>755.06</v>
      </c>
      <c r="AG27" s="22">
        <v>0</v>
      </c>
      <c r="AH27" s="22">
        <v>755.06</v>
      </c>
      <c r="AI27" t="s">
        <v>562</v>
      </c>
      <c r="AJ27" t="s">
        <v>563</v>
      </c>
    </row>
    <row r="28" spans="1:36" ht="58" outlineLevel="2" x14ac:dyDescent="0.35">
      <c r="A28" s="19" t="s">
        <v>551</v>
      </c>
      <c r="B28" s="19" t="s">
        <v>697</v>
      </c>
      <c r="C28" s="19" t="s">
        <v>698</v>
      </c>
      <c r="D28" s="19">
        <v>2021</v>
      </c>
      <c r="E28" s="19" t="s">
        <v>554</v>
      </c>
      <c r="F28" s="19">
        <v>80091513</v>
      </c>
      <c r="G28" s="19" t="s">
        <v>699</v>
      </c>
      <c r="H28" s="19" t="s">
        <v>700</v>
      </c>
      <c r="I28" s="19" t="s">
        <v>31</v>
      </c>
      <c r="J28" s="20">
        <v>1</v>
      </c>
      <c r="K28" s="21">
        <v>44581</v>
      </c>
      <c r="L28" s="21">
        <v>44581</v>
      </c>
      <c r="M28" s="21">
        <v>44725</v>
      </c>
      <c r="N28" s="24" t="s">
        <v>2448</v>
      </c>
      <c r="O28" s="19" t="s">
        <v>603</v>
      </c>
      <c r="P28" s="19" t="s">
        <v>568</v>
      </c>
      <c r="Q28" s="19" t="s">
        <v>655</v>
      </c>
      <c r="R28" s="19" t="s">
        <v>578</v>
      </c>
      <c r="S28" s="19" t="s">
        <v>701</v>
      </c>
      <c r="T28" t="s">
        <v>69</v>
      </c>
      <c r="U28" s="22">
        <v>0</v>
      </c>
      <c r="V28" s="22">
        <v>0</v>
      </c>
      <c r="W28" s="22">
        <v>928.65</v>
      </c>
      <c r="X28" s="22">
        <v>0</v>
      </c>
      <c r="Y28" s="22">
        <v>201.35</v>
      </c>
      <c r="Z28" s="22">
        <v>0</v>
      </c>
      <c r="AA28" s="22">
        <v>0</v>
      </c>
      <c r="AB28" s="22">
        <v>-164</v>
      </c>
      <c r="AC28" s="22">
        <v>0</v>
      </c>
      <c r="AD28" s="22">
        <v>0</v>
      </c>
      <c r="AE28" s="22">
        <v>1130</v>
      </c>
      <c r="AF28" s="22">
        <f t="shared" si="0"/>
        <v>966</v>
      </c>
      <c r="AG28" s="22">
        <v>0</v>
      </c>
      <c r="AH28" s="22">
        <v>966</v>
      </c>
      <c r="AI28" t="s">
        <v>562</v>
      </c>
      <c r="AJ28" t="s">
        <v>563</v>
      </c>
    </row>
    <row r="29" spans="1:36" ht="58" outlineLevel="2" x14ac:dyDescent="0.35">
      <c r="A29" s="19" t="s">
        <v>551</v>
      </c>
      <c r="B29" s="19" t="s">
        <v>697</v>
      </c>
      <c r="C29" s="19" t="s">
        <v>698</v>
      </c>
      <c r="D29" s="19">
        <v>2021</v>
      </c>
      <c r="E29" s="19" t="s">
        <v>554</v>
      </c>
      <c r="F29" s="19">
        <v>80091682</v>
      </c>
      <c r="G29" s="19" t="s">
        <v>702</v>
      </c>
      <c r="H29" s="19" t="s">
        <v>703</v>
      </c>
      <c r="I29" s="19" t="s">
        <v>31</v>
      </c>
      <c r="J29" s="20">
        <v>1</v>
      </c>
      <c r="K29" s="21">
        <v>44552</v>
      </c>
      <c r="L29" s="21">
        <v>44552</v>
      </c>
      <c r="M29" s="21">
        <v>44873</v>
      </c>
      <c r="N29" s="24" t="s">
        <v>2448</v>
      </c>
      <c r="O29" s="19" t="s">
        <v>557</v>
      </c>
      <c r="P29" s="19" t="s">
        <v>568</v>
      </c>
      <c r="Q29" s="19" t="s">
        <v>704</v>
      </c>
      <c r="R29" s="19" t="s">
        <v>578</v>
      </c>
      <c r="S29" s="19" t="s">
        <v>705</v>
      </c>
      <c r="T29" t="s">
        <v>69</v>
      </c>
      <c r="U29" s="22">
        <v>5250</v>
      </c>
      <c r="V29" s="22">
        <v>0</v>
      </c>
      <c r="W29" s="22">
        <v>13249.59</v>
      </c>
      <c r="X29" s="22">
        <v>0</v>
      </c>
      <c r="Y29" s="22">
        <v>1134.9000000000001</v>
      </c>
      <c r="Z29" s="22">
        <v>0</v>
      </c>
      <c r="AA29" s="22">
        <v>0</v>
      </c>
      <c r="AB29" s="22">
        <v>-264.44</v>
      </c>
      <c r="AC29" s="22">
        <v>0</v>
      </c>
      <c r="AD29" s="22">
        <v>0</v>
      </c>
      <c r="AE29" s="22">
        <v>19634.490000000002</v>
      </c>
      <c r="AF29" s="22">
        <f t="shared" si="0"/>
        <v>19370.050000000003</v>
      </c>
      <c r="AG29" s="22">
        <v>0</v>
      </c>
      <c r="AH29" s="22">
        <v>19370.05</v>
      </c>
      <c r="AI29" t="s">
        <v>562</v>
      </c>
      <c r="AJ29" t="s">
        <v>563</v>
      </c>
    </row>
    <row r="30" spans="1:36" ht="43.5" outlineLevel="2" x14ac:dyDescent="0.35">
      <c r="A30" s="19" t="s">
        <v>551</v>
      </c>
      <c r="B30" s="19" t="s">
        <v>636</v>
      </c>
      <c r="C30" s="19" t="s">
        <v>594</v>
      </c>
      <c r="D30" s="19">
        <v>2021</v>
      </c>
      <c r="E30" s="19" t="s">
        <v>554</v>
      </c>
      <c r="F30" s="19">
        <v>80091556</v>
      </c>
      <c r="G30" s="19" t="s">
        <v>706</v>
      </c>
      <c r="H30" s="19" t="s">
        <v>707</v>
      </c>
      <c r="I30" s="19" t="s">
        <v>31</v>
      </c>
      <c r="J30" s="20">
        <v>1</v>
      </c>
      <c r="K30" s="21">
        <v>44551</v>
      </c>
      <c r="L30" s="21">
        <v>44551</v>
      </c>
      <c r="M30" s="21">
        <v>44958</v>
      </c>
      <c r="N30" s="24" t="s">
        <v>2448</v>
      </c>
      <c r="O30" s="19" t="s">
        <v>557</v>
      </c>
      <c r="P30" s="19" t="s">
        <v>568</v>
      </c>
      <c r="Q30" s="19" t="s">
        <v>634</v>
      </c>
      <c r="R30" s="19" t="s">
        <v>708</v>
      </c>
      <c r="S30" s="19" t="s">
        <v>709</v>
      </c>
      <c r="T30" t="s">
        <v>33</v>
      </c>
      <c r="U30" s="22">
        <v>29309.4</v>
      </c>
      <c r="V30" s="22">
        <v>0</v>
      </c>
      <c r="W30" s="22">
        <v>12727.24</v>
      </c>
      <c r="X30" s="22">
        <v>0</v>
      </c>
      <c r="Y30" s="22">
        <v>2648.86</v>
      </c>
      <c r="Z30" s="22">
        <v>0</v>
      </c>
      <c r="AA30" s="22">
        <v>0</v>
      </c>
      <c r="AB30" s="22">
        <v>-463.71</v>
      </c>
      <c r="AC30" s="22">
        <v>0</v>
      </c>
      <c r="AD30" s="22">
        <v>0</v>
      </c>
      <c r="AE30" s="22">
        <v>44685.5</v>
      </c>
      <c r="AF30" s="22">
        <f t="shared" si="0"/>
        <v>44221.79</v>
      </c>
      <c r="AG30" s="22">
        <v>0</v>
      </c>
      <c r="AH30" s="22">
        <v>44221.79</v>
      </c>
      <c r="AI30" t="s">
        <v>562</v>
      </c>
      <c r="AJ30" t="s">
        <v>563</v>
      </c>
    </row>
    <row r="31" spans="1:36" ht="58" outlineLevel="2" x14ac:dyDescent="0.35">
      <c r="A31" s="19" t="s">
        <v>551</v>
      </c>
      <c r="B31" s="19" t="s">
        <v>599</v>
      </c>
      <c r="C31" s="19" t="s">
        <v>600</v>
      </c>
      <c r="D31" s="19">
        <v>2021</v>
      </c>
      <c r="E31" s="19" t="s">
        <v>554</v>
      </c>
      <c r="F31" s="19">
        <v>80082844</v>
      </c>
      <c r="G31" s="19" t="s">
        <v>710</v>
      </c>
      <c r="H31" s="19" t="s">
        <v>711</v>
      </c>
      <c r="I31" s="19" t="s">
        <v>31</v>
      </c>
      <c r="J31" s="20">
        <v>1</v>
      </c>
      <c r="K31" s="21">
        <v>44550</v>
      </c>
      <c r="L31" s="21">
        <v>44550</v>
      </c>
      <c r="M31" s="21">
        <v>45621</v>
      </c>
      <c r="N31" s="24" t="s">
        <v>2448</v>
      </c>
      <c r="O31" s="19" t="s">
        <v>557</v>
      </c>
      <c r="P31" s="19" t="s">
        <v>568</v>
      </c>
      <c r="Q31" s="19" t="s">
        <v>634</v>
      </c>
      <c r="R31" s="19" t="s">
        <v>616</v>
      </c>
      <c r="S31" s="19" t="s">
        <v>712</v>
      </c>
      <c r="T31" t="s">
        <v>51</v>
      </c>
      <c r="U31" s="22">
        <v>8225</v>
      </c>
      <c r="V31" s="22">
        <v>0</v>
      </c>
      <c r="W31" s="22">
        <v>49632.38</v>
      </c>
      <c r="X31" s="22">
        <v>0</v>
      </c>
      <c r="Y31" s="22">
        <v>13437.09</v>
      </c>
      <c r="Z31" s="22">
        <v>0</v>
      </c>
      <c r="AA31" s="22">
        <v>0</v>
      </c>
      <c r="AB31" s="22">
        <v>-119.04</v>
      </c>
      <c r="AC31" s="22">
        <v>0</v>
      </c>
      <c r="AD31" s="22">
        <v>2.98</v>
      </c>
      <c r="AE31" s="22">
        <v>71294.47</v>
      </c>
      <c r="AF31" s="22">
        <f t="shared" si="0"/>
        <v>71175.430000000008</v>
      </c>
      <c r="AG31" s="22">
        <v>0</v>
      </c>
      <c r="AH31" s="22">
        <v>71175.429999999993</v>
      </c>
      <c r="AI31" t="s">
        <v>562</v>
      </c>
      <c r="AJ31" t="s">
        <v>563</v>
      </c>
    </row>
    <row r="32" spans="1:36" ht="29" outlineLevel="2" x14ac:dyDescent="0.35">
      <c r="A32" s="19" t="s">
        <v>551</v>
      </c>
      <c r="B32" s="19" t="s">
        <v>636</v>
      </c>
      <c r="C32" s="19" t="s">
        <v>594</v>
      </c>
      <c r="D32" s="19">
        <v>2021</v>
      </c>
      <c r="E32" s="19" t="s">
        <v>554</v>
      </c>
      <c r="F32" s="19">
        <v>80091483</v>
      </c>
      <c r="G32" s="19" t="s">
        <v>713</v>
      </c>
      <c r="H32" s="19" t="s">
        <v>714</v>
      </c>
      <c r="I32" s="19" t="s">
        <v>31</v>
      </c>
      <c r="J32" s="20">
        <v>1</v>
      </c>
      <c r="K32" s="21">
        <v>44550</v>
      </c>
      <c r="L32" s="21">
        <v>44651</v>
      </c>
      <c r="M32" s="21">
        <v>45020</v>
      </c>
      <c r="N32" s="24" t="s">
        <v>2448</v>
      </c>
      <c r="O32" s="19" t="s">
        <v>557</v>
      </c>
      <c r="P32" s="19" t="s">
        <v>576</v>
      </c>
      <c r="Q32" s="19" t="s">
        <v>590</v>
      </c>
      <c r="R32" s="19" t="s">
        <v>715</v>
      </c>
      <c r="S32" s="19" t="s">
        <v>716</v>
      </c>
      <c r="T32" t="s">
        <v>33</v>
      </c>
      <c r="U32" s="22">
        <v>55000</v>
      </c>
      <c r="V32" s="22">
        <v>0</v>
      </c>
      <c r="W32" s="22">
        <v>11361.82</v>
      </c>
      <c r="X32" s="22">
        <v>0</v>
      </c>
      <c r="Y32" s="22">
        <v>6084.1</v>
      </c>
      <c r="Z32" s="22">
        <v>0</v>
      </c>
      <c r="AA32" s="22">
        <v>0</v>
      </c>
      <c r="AB32" s="22">
        <v>0</v>
      </c>
      <c r="AC32" s="22">
        <v>0</v>
      </c>
      <c r="AD32" s="22">
        <v>0</v>
      </c>
      <c r="AE32" s="22">
        <v>72445.919999999998</v>
      </c>
      <c r="AF32" s="22">
        <f t="shared" si="0"/>
        <v>72445.919999999998</v>
      </c>
      <c r="AG32" s="22">
        <v>0</v>
      </c>
      <c r="AH32" s="22">
        <v>72445.919999999998</v>
      </c>
      <c r="AI32" t="s">
        <v>562</v>
      </c>
      <c r="AJ32" t="s">
        <v>563</v>
      </c>
    </row>
    <row r="33" spans="1:36" ht="43.5" outlineLevel="2" x14ac:dyDescent="0.35">
      <c r="A33" s="19" t="s">
        <v>551</v>
      </c>
      <c r="B33" s="19" t="s">
        <v>717</v>
      </c>
      <c r="C33" s="19" t="s">
        <v>673</v>
      </c>
      <c r="D33" s="19">
        <v>2021</v>
      </c>
      <c r="E33" s="19" t="s">
        <v>554</v>
      </c>
      <c r="F33" s="19">
        <v>80091499</v>
      </c>
      <c r="G33" s="19" t="s">
        <v>718</v>
      </c>
      <c r="H33" s="19" t="s">
        <v>719</v>
      </c>
      <c r="I33" s="19" t="s">
        <v>31</v>
      </c>
      <c r="J33" s="20">
        <v>1</v>
      </c>
      <c r="K33" s="21">
        <v>44546</v>
      </c>
      <c r="L33" s="21">
        <v>44571</v>
      </c>
      <c r="M33" s="21">
        <v>44601</v>
      </c>
      <c r="N33" s="24" t="s">
        <v>2448</v>
      </c>
      <c r="O33" s="19" t="s">
        <v>557</v>
      </c>
      <c r="P33" s="19" t="s">
        <v>665</v>
      </c>
      <c r="Q33" s="19" t="s">
        <v>720</v>
      </c>
      <c r="R33" s="19" t="s">
        <v>570</v>
      </c>
      <c r="S33" s="19" t="s">
        <v>721</v>
      </c>
      <c r="T33" t="s">
        <v>51</v>
      </c>
      <c r="U33" s="22">
        <v>0</v>
      </c>
      <c r="V33" s="22">
        <v>0</v>
      </c>
      <c r="W33" s="22">
        <v>279.5</v>
      </c>
      <c r="X33" s="22">
        <v>0</v>
      </c>
      <c r="Y33" s="22">
        <v>71.569999999999993</v>
      </c>
      <c r="Z33" s="22">
        <v>0</v>
      </c>
      <c r="AA33" s="22">
        <v>0</v>
      </c>
      <c r="AB33" s="22">
        <v>0</v>
      </c>
      <c r="AC33" s="22">
        <v>0</v>
      </c>
      <c r="AD33" s="22">
        <v>0</v>
      </c>
      <c r="AE33" s="22">
        <v>351.07</v>
      </c>
      <c r="AF33" s="22">
        <f t="shared" si="0"/>
        <v>351.07</v>
      </c>
      <c r="AG33" s="22">
        <v>0</v>
      </c>
      <c r="AH33" s="22">
        <v>351.07</v>
      </c>
      <c r="AI33" t="s">
        <v>562</v>
      </c>
      <c r="AJ33" t="s">
        <v>563</v>
      </c>
    </row>
    <row r="34" spans="1:36" ht="72.5" outlineLevel="2" x14ac:dyDescent="0.35">
      <c r="A34" s="19" t="s">
        <v>551</v>
      </c>
      <c r="B34" s="19" t="s">
        <v>722</v>
      </c>
      <c r="C34" s="19" t="s">
        <v>723</v>
      </c>
      <c r="D34" s="19">
        <v>2021</v>
      </c>
      <c r="E34" s="19" t="s">
        <v>554</v>
      </c>
      <c r="F34" s="19">
        <v>80091536</v>
      </c>
      <c r="G34" s="19" t="s">
        <v>724</v>
      </c>
      <c r="H34" s="19" t="s">
        <v>725</v>
      </c>
      <c r="I34" s="19" t="s">
        <v>31</v>
      </c>
      <c r="J34" s="20">
        <v>1</v>
      </c>
      <c r="K34" s="21">
        <v>44536</v>
      </c>
      <c r="L34" s="21">
        <v>44539</v>
      </c>
      <c r="M34" s="21">
        <v>44614</v>
      </c>
      <c r="N34" s="24" t="s">
        <v>2448</v>
      </c>
      <c r="O34" s="19" t="s">
        <v>557</v>
      </c>
      <c r="P34" s="19" t="s">
        <v>568</v>
      </c>
      <c r="Q34" s="19" t="s">
        <v>655</v>
      </c>
      <c r="R34" s="19" t="s">
        <v>708</v>
      </c>
      <c r="S34" s="19" t="s">
        <v>726</v>
      </c>
      <c r="T34" t="s">
        <v>51</v>
      </c>
      <c r="U34" s="22">
        <v>0</v>
      </c>
      <c r="V34" s="22">
        <v>0</v>
      </c>
      <c r="W34" s="22">
        <v>998.41</v>
      </c>
      <c r="X34" s="22">
        <v>0</v>
      </c>
      <c r="Y34" s="22">
        <v>79.02</v>
      </c>
      <c r="Z34" s="22">
        <v>0</v>
      </c>
      <c r="AA34" s="22">
        <v>0</v>
      </c>
      <c r="AB34" s="22">
        <v>0</v>
      </c>
      <c r="AC34" s="22">
        <v>0</v>
      </c>
      <c r="AD34" s="22">
        <v>0</v>
      </c>
      <c r="AE34" s="22">
        <v>1077.43</v>
      </c>
      <c r="AF34" s="22">
        <f t="shared" si="0"/>
        <v>1077.43</v>
      </c>
      <c r="AG34" s="22">
        <v>0</v>
      </c>
      <c r="AH34" s="22">
        <v>1077.43</v>
      </c>
      <c r="AI34" t="s">
        <v>562</v>
      </c>
      <c r="AJ34" t="s">
        <v>563</v>
      </c>
    </row>
    <row r="35" spans="1:36" ht="58" outlineLevel="2" x14ac:dyDescent="0.35">
      <c r="A35" s="19" t="s">
        <v>551</v>
      </c>
      <c r="B35" s="19" t="s">
        <v>599</v>
      </c>
      <c r="C35" s="19" t="s">
        <v>600</v>
      </c>
      <c r="D35" s="19">
        <v>2021</v>
      </c>
      <c r="E35" s="19" t="s">
        <v>554</v>
      </c>
      <c r="F35" s="19">
        <v>80091521</v>
      </c>
      <c r="G35" s="19" t="s">
        <v>727</v>
      </c>
      <c r="H35" s="19" t="s">
        <v>728</v>
      </c>
      <c r="I35" s="19" t="s">
        <v>31</v>
      </c>
      <c r="J35" s="20">
        <v>1</v>
      </c>
      <c r="K35" s="21">
        <v>44531</v>
      </c>
      <c r="L35" s="21">
        <v>44537</v>
      </c>
      <c r="M35" s="21">
        <v>44540</v>
      </c>
      <c r="N35" s="24" t="s">
        <v>2448</v>
      </c>
      <c r="O35" s="19" t="s">
        <v>557</v>
      </c>
      <c r="P35" s="19" t="s">
        <v>665</v>
      </c>
      <c r="Q35" s="19" t="s">
        <v>720</v>
      </c>
      <c r="R35" s="19" t="s">
        <v>616</v>
      </c>
      <c r="S35" s="19" t="s">
        <v>729</v>
      </c>
      <c r="T35" t="s">
        <v>51</v>
      </c>
      <c r="U35" s="22">
        <v>0</v>
      </c>
      <c r="V35" s="22">
        <v>0</v>
      </c>
      <c r="W35" s="22">
        <v>382.67</v>
      </c>
      <c r="X35" s="22">
        <v>0</v>
      </c>
      <c r="Y35" s="22">
        <v>61.82</v>
      </c>
      <c r="Z35" s="22">
        <v>0</v>
      </c>
      <c r="AA35" s="22">
        <v>0</v>
      </c>
      <c r="AB35" s="22">
        <v>0</v>
      </c>
      <c r="AC35" s="22">
        <v>0</v>
      </c>
      <c r="AD35" s="22">
        <v>0</v>
      </c>
      <c r="AE35" s="22">
        <v>444.49</v>
      </c>
      <c r="AF35" s="22">
        <f t="shared" si="0"/>
        <v>444.49</v>
      </c>
      <c r="AG35" s="22">
        <v>0</v>
      </c>
      <c r="AH35" s="22">
        <v>444.49</v>
      </c>
      <c r="AI35" t="s">
        <v>562</v>
      </c>
      <c r="AJ35" t="s">
        <v>563</v>
      </c>
    </row>
    <row r="36" spans="1:36" ht="72.5" outlineLevel="2" x14ac:dyDescent="0.35">
      <c r="A36" s="19" t="s">
        <v>551</v>
      </c>
      <c r="B36" s="19" t="s">
        <v>580</v>
      </c>
      <c r="C36" s="19" t="s">
        <v>581</v>
      </c>
      <c r="D36" s="19">
        <v>2021</v>
      </c>
      <c r="E36" s="19" t="s">
        <v>554</v>
      </c>
      <c r="F36" s="19">
        <v>80088228</v>
      </c>
      <c r="G36" s="19" t="s">
        <v>730</v>
      </c>
      <c r="H36" s="19" t="s">
        <v>731</v>
      </c>
      <c r="I36" s="19" t="s">
        <v>31</v>
      </c>
      <c r="J36" s="20">
        <v>1</v>
      </c>
      <c r="K36" s="21">
        <v>44518</v>
      </c>
      <c r="L36" s="21">
        <v>44518</v>
      </c>
      <c r="M36" s="21">
        <v>45337</v>
      </c>
      <c r="N36" s="24" t="s">
        <v>2448</v>
      </c>
      <c r="O36" s="19" t="s">
        <v>557</v>
      </c>
      <c r="P36" s="19" t="s">
        <v>576</v>
      </c>
      <c r="Q36" s="19" t="s">
        <v>655</v>
      </c>
      <c r="R36" s="19" t="s">
        <v>616</v>
      </c>
      <c r="S36" s="19" t="s">
        <v>732</v>
      </c>
      <c r="T36" t="s">
        <v>51</v>
      </c>
      <c r="U36" s="22">
        <v>852</v>
      </c>
      <c r="V36" s="22">
        <v>0</v>
      </c>
      <c r="W36" s="22">
        <v>674.34</v>
      </c>
      <c r="X36" s="22">
        <v>0</v>
      </c>
      <c r="Y36" s="22">
        <v>3126.64</v>
      </c>
      <c r="Z36" s="22">
        <v>0</v>
      </c>
      <c r="AA36" s="22">
        <v>0</v>
      </c>
      <c r="AB36" s="22">
        <v>0</v>
      </c>
      <c r="AC36" s="22">
        <v>0</v>
      </c>
      <c r="AD36" s="22">
        <v>0</v>
      </c>
      <c r="AE36" s="22">
        <v>4652.9799999999996</v>
      </c>
      <c r="AF36" s="22">
        <f t="shared" si="0"/>
        <v>4652.9799999999996</v>
      </c>
      <c r="AG36" s="22">
        <v>0</v>
      </c>
      <c r="AH36" s="22">
        <v>4652.9799999999996</v>
      </c>
      <c r="AI36" t="s">
        <v>562</v>
      </c>
      <c r="AJ36" t="s">
        <v>563</v>
      </c>
    </row>
    <row r="37" spans="1:36" ht="43.5" outlineLevel="2" x14ac:dyDescent="0.35">
      <c r="A37" s="19" t="s">
        <v>551</v>
      </c>
      <c r="B37" s="19" t="s">
        <v>697</v>
      </c>
      <c r="C37" s="19" t="s">
        <v>698</v>
      </c>
      <c r="D37" s="19">
        <v>2021</v>
      </c>
      <c r="E37" s="19" t="s">
        <v>554</v>
      </c>
      <c r="F37" s="19">
        <v>80091481</v>
      </c>
      <c r="G37" s="19" t="s">
        <v>733</v>
      </c>
      <c r="H37" s="19" t="s">
        <v>734</v>
      </c>
      <c r="I37" s="19" t="s">
        <v>31</v>
      </c>
      <c r="J37" s="20">
        <v>1</v>
      </c>
      <c r="K37" s="21">
        <v>44516</v>
      </c>
      <c r="L37" s="21">
        <v>44531</v>
      </c>
      <c r="M37" s="21">
        <v>44662</v>
      </c>
      <c r="N37" s="24" t="s">
        <v>2448</v>
      </c>
      <c r="O37" s="19" t="s">
        <v>603</v>
      </c>
      <c r="P37" s="19" t="s">
        <v>665</v>
      </c>
      <c r="Q37" s="19" t="s">
        <v>735</v>
      </c>
      <c r="R37" s="19" t="s">
        <v>570</v>
      </c>
      <c r="S37" s="19" t="s">
        <v>736</v>
      </c>
      <c r="T37" t="s">
        <v>69</v>
      </c>
      <c r="U37" s="22">
        <v>0</v>
      </c>
      <c r="V37" s="22">
        <v>0</v>
      </c>
      <c r="W37" s="22">
        <v>657.12</v>
      </c>
      <c r="X37" s="22">
        <v>0</v>
      </c>
      <c r="Y37" s="22">
        <v>142.30000000000001</v>
      </c>
      <c r="Z37" s="22">
        <v>0</v>
      </c>
      <c r="AA37" s="22">
        <v>0</v>
      </c>
      <c r="AB37" s="22">
        <v>-92.5</v>
      </c>
      <c r="AC37" s="22">
        <v>0</v>
      </c>
      <c r="AD37" s="22">
        <v>0</v>
      </c>
      <c r="AE37" s="22">
        <v>799.42</v>
      </c>
      <c r="AF37" s="22">
        <f t="shared" si="0"/>
        <v>706.92</v>
      </c>
      <c r="AG37" s="22">
        <v>0</v>
      </c>
      <c r="AH37" s="22">
        <v>706.92</v>
      </c>
      <c r="AI37" t="s">
        <v>562</v>
      </c>
      <c r="AJ37" t="s">
        <v>563</v>
      </c>
    </row>
    <row r="38" spans="1:36" ht="29" outlineLevel="2" x14ac:dyDescent="0.35">
      <c r="A38" s="19" t="s">
        <v>551</v>
      </c>
      <c r="B38" s="19" t="s">
        <v>672</v>
      </c>
      <c r="C38" s="19" t="s">
        <v>673</v>
      </c>
      <c r="D38" s="19">
        <v>2021</v>
      </c>
      <c r="E38" s="19" t="s">
        <v>554</v>
      </c>
      <c r="F38" s="19">
        <v>80091545</v>
      </c>
      <c r="G38" s="19" t="s">
        <v>737</v>
      </c>
      <c r="H38" s="19" t="s">
        <v>738</v>
      </c>
      <c r="I38" s="19" t="s">
        <v>31</v>
      </c>
      <c r="J38" s="20">
        <v>1</v>
      </c>
      <c r="K38" s="21">
        <v>44504</v>
      </c>
      <c r="L38" s="21">
        <v>44594</v>
      </c>
      <c r="M38" s="21">
        <v>44791</v>
      </c>
      <c r="N38" s="24" t="s">
        <v>2448</v>
      </c>
      <c r="O38" s="19" t="s">
        <v>557</v>
      </c>
      <c r="P38" s="19" t="s">
        <v>568</v>
      </c>
      <c r="Q38" s="19" t="s">
        <v>569</v>
      </c>
      <c r="R38" s="19" t="s">
        <v>570</v>
      </c>
      <c r="S38" s="19" t="s">
        <v>739</v>
      </c>
      <c r="T38" t="s">
        <v>51</v>
      </c>
      <c r="U38" s="22">
        <v>0</v>
      </c>
      <c r="V38" s="22">
        <v>0</v>
      </c>
      <c r="W38" s="22">
        <v>4615.71</v>
      </c>
      <c r="X38" s="22">
        <v>0</v>
      </c>
      <c r="Y38" s="22">
        <v>654.14</v>
      </c>
      <c r="Z38" s="22">
        <v>0</v>
      </c>
      <c r="AA38" s="22">
        <v>0</v>
      </c>
      <c r="AB38" s="22">
        <v>0</v>
      </c>
      <c r="AC38" s="22">
        <v>0</v>
      </c>
      <c r="AD38" s="22">
        <v>0</v>
      </c>
      <c r="AE38" s="22">
        <v>5269.85</v>
      </c>
      <c r="AF38" s="22">
        <f t="shared" si="0"/>
        <v>5269.85</v>
      </c>
      <c r="AG38" s="22">
        <v>0</v>
      </c>
      <c r="AH38" s="22">
        <v>5269.85</v>
      </c>
      <c r="AI38" t="s">
        <v>562</v>
      </c>
      <c r="AJ38" t="s">
        <v>563</v>
      </c>
    </row>
    <row r="39" spans="1:36" ht="43.5" outlineLevel="2" x14ac:dyDescent="0.35">
      <c r="A39" s="19" t="s">
        <v>551</v>
      </c>
      <c r="B39" s="19" t="s">
        <v>740</v>
      </c>
      <c r="C39" s="19" t="s">
        <v>741</v>
      </c>
      <c r="D39" s="19">
        <v>2021</v>
      </c>
      <c r="E39" s="19" t="s">
        <v>554</v>
      </c>
      <c r="F39" s="19">
        <v>80091480</v>
      </c>
      <c r="G39" s="19" t="s">
        <v>742</v>
      </c>
      <c r="H39" s="19" t="s">
        <v>743</v>
      </c>
      <c r="I39" s="19" t="s">
        <v>31</v>
      </c>
      <c r="J39" s="20">
        <v>1</v>
      </c>
      <c r="K39" s="21">
        <v>44503</v>
      </c>
      <c r="L39" s="21">
        <v>44515</v>
      </c>
      <c r="M39" s="21">
        <v>45070</v>
      </c>
      <c r="N39" s="24" t="s">
        <v>2448</v>
      </c>
      <c r="O39" s="19" t="s">
        <v>557</v>
      </c>
      <c r="P39" s="19" t="s">
        <v>568</v>
      </c>
      <c r="Q39" s="19" t="s">
        <v>590</v>
      </c>
      <c r="R39" s="19" t="s">
        <v>591</v>
      </c>
      <c r="S39" s="19" t="s">
        <v>744</v>
      </c>
      <c r="T39" t="s">
        <v>45</v>
      </c>
      <c r="U39" s="22">
        <v>4725</v>
      </c>
      <c r="V39" s="22">
        <v>0</v>
      </c>
      <c r="W39" s="22">
        <v>30638.240000000002</v>
      </c>
      <c r="X39" s="22">
        <v>0</v>
      </c>
      <c r="Y39" s="22">
        <v>911.17</v>
      </c>
      <c r="Z39" s="22">
        <v>0</v>
      </c>
      <c r="AA39" s="22">
        <v>0</v>
      </c>
      <c r="AB39" s="22">
        <v>0</v>
      </c>
      <c r="AC39" s="22">
        <v>0</v>
      </c>
      <c r="AD39" s="22">
        <v>0</v>
      </c>
      <c r="AE39" s="22">
        <v>36274.410000000003</v>
      </c>
      <c r="AF39" s="22">
        <f t="shared" si="0"/>
        <v>36274.410000000003</v>
      </c>
      <c r="AG39" s="22">
        <v>0</v>
      </c>
      <c r="AH39" s="22">
        <v>36274.410000000003</v>
      </c>
      <c r="AI39" t="s">
        <v>562</v>
      </c>
      <c r="AJ39" t="s">
        <v>563</v>
      </c>
    </row>
    <row r="40" spans="1:36" ht="29" outlineLevel="2" x14ac:dyDescent="0.35">
      <c r="A40" s="19" t="s">
        <v>551</v>
      </c>
      <c r="B40" s="19" t="s">
        <v>636</v>
      </c>
      <c r="C40" s="19" t="s">
        <v>594</v>
      </c>
      <c r="D40" s="19">
        <v>2021</v>
      </c>
      <c r="E40" s="19" t="s">
        <v>554</v>
      </c>
      <c r="F40" s="19">
        <v>80091703</v>
      </c>
      <c r="G40" s="19" t="s">
        <v>745</v>
      </c>
      <c r="H40" s="19" t="s">
        <v>746</v>
      </c>
      <c r="I40" s="19" t="s">
        <v>31</v>
      </c>
      <c r="J40" s="20">
        <v>1</v>
      </c>
      <c r="K40" s="21">
        <v>44503</v>
      </c>
      <c r="L40" s="21">
        <v>44509</v>
      </c>
      <c r="M40" s="21">
        <v>44755</v>
      </c>
      <c r="N40" s="24" t="s">
        <v>2448</v>
      </c>
      <c r="O40" s="19" t="s">
        <v>557</v>
      </c>
      <c r="P40" s="19" t="s">
        <v>568</v>
      </c>
      <c r="Q40" s="19" t="s">
        <v>634</v>
      </c>
      <c r="R40" s="19" t="s">
        <v>616</v>
      </c>
      <c r="S40" s="19" t="s">
        <v>747</v>
      </c>
      <c r="T40" t="s">
        <v>33</v>
      </c>
      <c r="U40" s="22">
        <v>0</v>
      </c>
      <c r="V40" s="22">
        <v>0</v>
      </c>
      <c r="W40" s="22">
        <v>2689.85</v>
      </c>
      <c r="X40" s="22">
        <v>0</v>
      </c>
      <c r="Y40" s="22">
        <v>270.60000000000002</v>
      </c>
      <c r="Z40" s="22">
        <v>0</v>
      </c>
      <c r="AA40" s="22">
        <v>0</v>
      </c>
      <c r="AB40" s="22">
        <v>-24.92</v>
      </c>
      <c r="AC40" s="22">
        <v>0</v>
      </c>
      <c r="AD40" s="22">
        <v>0</v>
      </c>
      <c r="AE40" s="22">
        <v>2960.45</v>
      </c>
      <c r="AF40" s="22">
        <f t="shared" si="0"/>
        <v>2935.5299999999997</v>
      </c>
      <c r="AG40" s="22">
        <v>0</v>
      </c>
      <c r="AH40" s="22">
        <v>2935.53</v>
      </c>
      <c r="AI40" t="s">
        <v>562</v>
      </c>
      <c r="AJ40" t="s">
        <v>563</v>
      </c>
    </row>
    <row r="41" spans="1:36" ht="87" outlineLevel="2" x14ac:dyDescent="0.35">
      <c r="A41" s="19" t="s">
        <v>551</v>
      </c>
      <c r="B41" s="19" t="s">
        <v>748</v>
      </c>
      <c r="C41" s="19" t="s">
        <v>749</v>
      </c>
      <c r="D41" s="19">
        <v>2021</v>
      </c>
      <c r="E41" s="19" t="s">
        <v>554</v>
      </c>
      <c r="F41" s="19">
        <v>80091510</v>
      </c>
      <c r="G41" s="19" t="s">
        <v>750</v>
      </c>
      <c r="H41" s="19" t="s">
        <v>751</v>
      </c>
      <c r="I41" s="19" t="s">
        <v>31</v>
      </c>
      <c r="J41" s="20">
        <v>1</v>
      </c>
      <c r="K41" s="21">
        <v>44498</v>
      </c>
      <c r="L41" s="21">
        <v>44501</v>
      </c>
      <c r="M41" s="21">
        <v>44978</v>
      </c>
      <c r="N41" s="24" t="s">
        <v>2448</v>
      </c>
      <c r="O41" s="19" t="s">
        <v>557</v>
      </c>
      <c r="P41" s="19" t="s">
        <v>568</v>
      </c>
      <c r="Q41" s="19" t="s">
        <v>634</v>
      </c>
      <c r="R41" s="19" t="s">
        <v>591</v>
      </c>
      <c r="S41" s="19" t="s">
        <v>752</v>
      </c>
      <c r="T41" t="s">
        <v>121</v>
      </c>
      <c r="U41" s="22">
        <v>18786.3</v>
      </c>
      <c r="V41" s="22">
        <v>0</v>
      </c>
      <c r="W41" s="22">
        <v>19280.37</v>
      </c>
      <c r="X41" s="22">
        <v>0</v>
      </c>
      <c r="Y41" s="22">
        <v>1424.37</v>
      </c>
      <c r="Z41" s="22">
        <v>0</v>
      </c>
      <c r="AA41" s="22">
        <v>0</v>
      </c>
      <c r="AB41" s="22">
        <v>0</v>
      </c>
      <c r="AC41" s="22">
        <v>0</v>
      </c>
      <c r="AD41" s="22">
        <v>0</v>
      </c>
      <c r="AE41" s="22">
        <v>39491.040000000001</v>
      </c>
      <c r="AF41" s="22">
        <f t="shared" si="0"/>
        <v>39491.040000000001</v>
      </c>
      <c r="AG41" s="22">
        <v>0</v>
      </c>
      <c r="AH41" s="22">
        <v>39491.040000000001</v>
      </c>
      <c r="AI41" t="s">
        <v>562</v>
      </c>
      <c r="AJ41" t="s">
        <v>563</v>
      </c>
    </row>
    <row r="42" spans="1:36" ht="43.5" outlineLevel="2" x14ac:dyDescent="0.35">
      <c r="A42" s="19" t="s">
        <v>551</v>
      </c>
      <c r="B42" s="19" t="s">
        <v>753</v>
      </c>
      <c r="C42" s="19" t="s">
        <v>553</v>
      </c>
      <c r="D42" s="19">
        <v>2021</v>
      </c>
      <c r="E42" s="19" t="s">
        <v>554</v>
      </c>
      <c r="F42" s="19">
        <v>80082712</v>
      </c>
      <c r="G42" s="19" t="s">
        <v>754</v>
      </c>
      <c r="H42" s="19" t="s">
        <v>755</v>
      </c>
      <c r="I42" s="19" t="s">
        <v>687</v>
      </c>
      <c r="J42" s="20">
        <v>1</v>
      </c>
      <c r="K42" s="21">
        <v>44490</v>
      </c>
      <c r="L42" s="21">
        <v>44490</v>
      </c>
      <c r="N42" s="24" t="s">
        <v>2448</v>
      </c>
      <c r="O42" s="19" t="s">
        <v>557</v>
      </c>
      <c r="P42" s="19" t="s">
        <v>568</v>
      </c>
      <c r="Q42" s="19" t="s">
        <v>597</v>
      </c>
      <c r="R42" s="19" t="s">
        <v>560</v>
      </c>
      <c r="S42" s="19" t="s">
        <v>756</v>
      </c>
      <c r="T42" t="s">
        <v>85</v>
      </c>
      <c r="U42" s="22">
        <v>731.55</v>
      </c>
      <c r="V42" s="22">
        <v>3800.45</v>
      </c>
      <c r="W42" s="22">
        <v>21147.83</v>
      </c>
      <c r="X42" s="22">
        <v>4292.17</v>
      </c>
      <c r="Y42" s="22">
        <v>10327.81</v>
      </c>
      <c r="Z42" s="22">
        <v>31380.37</v>
      </c>
      <c r="AA42" s="22">
        <v>0</v>
      </c>
      <c r="AB42" s="22">
        <v>-2105.1799999999998</v>
      </c>
      <c r="AC42" s="22">
        <v>0</v>
      </c>
      <c r="AD42" s="22">
        <v>-23.58</v>
      </c>
      <c r="AE42" s="22">
        <v>32207.19</v>
      </c>
      <c r="AF42" s="22">
        <f t="shared" si="0"/>
        <v>30102.01</v>
      </c>
      <c r="AG42" s="22">
        <v>39472.99</v>
      </c>
      <c r="AH42" s="22">
        <v>69575</v>
      </c>
      <c r="AI42" t="s">
        <v>562</v>
      </c>
      <c r="AJ42" t="s">
        <v>563</v>
      </c>
    </row>
    <row r="43" spans="1:36" ht="58" outlineLevel="2" x14ac:dyDescent="0.35">
      <c r="A43" s="19" t="s">
        <v>551</v>
      </c>
      <c r="B43" s="19" t="s">
        <v>672</v>
      </c>
      <c r="C43" s="19" t="s">
        <v>673</v>
      </c>
      <c r="D43" s="19">
        <v>2021</v>
      </c>
      <c r="E43" s="19" t="s">
        <v>554</v>
      </c>
      <c r="F43" s="19">
        <v>80091667</v>
      </c>
      <c r="G43" s="19" t="s">
        <v>757</v>
      </c>
      <c r="H43" s="19" t="s">
        <v>758</v>
      </c>
      <c r="I43" s="19" t="s">
        <v>31</v>
      </c>
      <c r="J43" s="20">
        <v>1</v>
      </c>
      <c r="K43" s="21">
        <v>44483</v>
      </c>
      <c r="L43" s="21">
        <v>44502</v>
      </c>
      <c r="M43" s="21">
        <v>44568</v>
      </c>
      <c r="N43" s="24" t="s">
        <v>2448</v>
      </c>
      <c r="O43" s="19" t="s">
        <v>557</v>
      </c>
      <c r="P43" s="19" t="s">
        <v>568</v>
      </c>
      <c r="Q43" s="19" t="s">
        <v>569</v>
      </c>
      <c r="R43" s="19" t="s">
        <v>570</v>
      </c>
      <c r="S43" s="19" t="s">
        <v>759</v>
      </c>
      <c r="T43" t="s">
        <v>51</v>
      </c>
      <c r="U43" s="22">
        <v>0</v>
      </c>
      <c r="V43" s="22">
        <v>0</v>
      </c>
      <c r="W43" s="22">
        <v>3156.91</v>
      </c>
      <c r="X43" s="22">
        <v>0</v>
      </c>
      <c r="Y43" s="22">
        <v>266.68</v>
      </c>
      <c r="Z43" s="22">
        <v>0</v>
      </c>
      <c r="AA43" s="22">
        <v>0</v>
      </c>
      <c r="AB43" s="22">
        <v>0</v>
      </c>
      <c r="AC43" s="22">
        <v>0</v>
      </c>
      <c r="AD43" s="22">
        <v>0</v>
      </c>
      <c r="AE43" s="22">
        <v>3423.59</v>
      </c>
      <c r="AF43" s="22">
        <f t="shared" si="0"/>
        <v>3423.59</v>
      </c>
      <c r="AG43" s="22">
        <v>0</v>
      </c>
      <c r="AH43" s="22">
        <v>3423.59</v>
      </c>
      <c r="AI43" t="s">
        <v>562</v>
      </c>
      <c r="AJ43" t="s">
        <v>563</v>
      </c>
    </row>
    <row r="44" spans="1:36" ht="43.5" outlineLevel="2" x14ac:dyDescent="0.35">
      <c r="A44" s="19" t="s">
        <v>551</v>
      </c>
      <c r="B44" s="19" t="s">
        <v>658</v>
      </c>
      <c r="C44" s="19" t="s">
        <v>643</v>
      </c>
      <c r="D44" s="19">
        <v>2021</v>
      </c>
      <c r="E44" s="19" t="s">
        <v>554</v>
      </c>
      <c r="F44" s="19">
        <v>80091498</v>
      </c>
      <c r="G44" s="19" t="s">
        <v>760</v>
      </c>
      <c r="H44" s="19" t="s">
        <v>761</v>
      </c>
      <c r="I44" s="19" t="s">
        <v>31</v>
      </c>
      <c r="J44" s="20">
        <v>1</v>
      </c>
      <c r="K44" s="21">
        <v>44481</v>
      </c>
      <c r="L44" s="21">
        <v>44494</v>
      </c>
      <c r="M44" s="21">
        <v>44558</v>
      </c>
      <c r="N44" s="24" t="s">
        <v>2448</v>
      </c>
      <c r="O44" s="19" t="s">
        <v>557</v>
      </c>
      <c r="P44" s="19" t="s">
        <v>568</v>
      </c>
      <c r="Q44" s="19" t="s">
        <v>762</v>
      </c>
      <c r="R44" s="19" t="s">
        <v>670</v>
      </c>
      <c r="S44" s="19" t="s">
        <v>763</v>
      </c>
      <c r="T44" t="s">
        <v>62</v>
      </c>
      <c r="U44" s="22">
        <v>0</v>
      </c>
      <c r="V44" s="22">
        <v>0</v>
      </c>
      <c r="W44" s="22">
        <v>0</v>
      </c>
      <c r="X44" s="22">
        <v>0</v>
      </c>
      <c r="Y44" s="22">
        <v>0</v>
      </c>
      <c r="Z44" s="22">
        <v>0</v>
      </c>
      <c r="AA44" s="22">
        <v>0</v>
      </c>
      <c r="AB44" s="22">
        <v>0</v>
      </c>
      <c r="AC44" s="22">
        <v>0</v>
      </c>
      <c r="AD44" s="22">
        <v>0</v>
      </c>
      <c r="AE44" s="22">
        <v>0</v>
      </c>
      <c r="AF44" s="22">
        <f t="shared" si="0"/>
        <v>0</v>
      </c>
      <c r="AG44" s="22">
        <v>0</v>
      </c>
      <c r="AH44" s="22">
        <v>0</v>
      </c>
      <c r="AI44" t="s">
        <v>562</v>
      </c>
      <c r="AJ44" t="s">
        <v>563</v>
      </c>
    </row>
    <row r="45" spans="1:36" ht="58" outlineLevel="2" x14ac:dyDescent="0.35">
      <c r="A45" s="19" t="s">
        <v>551</v>
      </c>
      <c r="B45" s="19" t="s">
        <v>764</v>
      </c>
      <c r="C45" s="19" t="s">
        <v>765</v>
      </c>
      <c r="D45" s="19">
        <v>2021</v>
      </c>
      <c r="E45" s="19" t="s">
        <v>554</v>
      </c>
      <c r="F45" s="19">
        <v>80091479</v>
      </c>
      <c r="G45" s="19" t="s">
        <v>766</v>
      </c>
      <c r="H45" s="19" t="s">
        <v>767</v>
      </c>
      <c r="I45" s="19" t="s">
        <v>31</v>
      </c>
      <c r="J45" s="20">
        <v>1</v>
      </c>
      <c r="K45" s="21">
        <v>44474</v>
      </c>
      <c r="L45" s="21">
        <v>44481</v>
      </c>
      <c r="M45" s="21">
        <v>44865</v>
      </c>
      <c r="N45" s="24" t="s">
        <v>2448</v>
      </c>
      <c r="O45" s="19" t="s">
        <v>557</v>
      </c>
      <c r="P45" s="19" t="s">
        <v>609</v>
      </c>
      <c r="Q45" s="19" t="s">
        <v>569</v>
      </c>
      <c r="R45" s="19" t="s">
        <v>591</v>
      </c>
      <c r="S45" s="19" t="s">
        <v>768</v>
      </c>
      <c r="T45" t="s">
        <v>769</v>
      </c>
      <c r="U45" s="22">
        <v>2728.95</v>
      </c>
      <c r="V45" s="22">
        <v>0</v>
      </c>
      <c r="W45" s="22">
        <v>7111.66</v>
      </c>
      <c r="X45" s="22">
        <v>0</v>
      </c>
      <c r="Y45" s="22">
        <v>344.31</v>
      </c>
      <c r="Z45" s="22">
        <v>0</v>
      </c>
      <c r="AA45" s="22">
        <v>0</v>
      </c>
      <c r="AB45" s="22">
        <v>0</v>
      </c>
      <c r="AC45" s="22">
        <v>0</v>
      </c>
      <c r="AD45" s="22">
        <v>0</v>
      </c>
      <c r="AE45" s="22">
        <v>10184.92</v>
      </c>
      <c r="AF45" s="22">
        <f t="shared" si="0"/>
        <v>10184.92</v>
      </c>
      <c r="AG45" s="22">
        <v>0</v>
      </c>
      <c r="AH45" s="22">
        <v>10184.92</v>
      </c>
      <c r="AI45" t="s">
        <v>562</v>
      </c>
      <c r="AJ45" t="s">
        <v>563</v>
      </c>
    </row>
    <row r="46" spans="1:36" ht="43.5" outlineLevel="2" x14ac:dyDescent="0.35">
      <c r="A46" s="19" t="s">
        <v>551</v>
      </c>
      <c r="B46" s="19" t="s">
        <v>672</v>
      </c>
      <c r="C46" s="19" t="s">
        <v>673</v>
      </c>
      <c r="D46" s="19">
        <v>2021</v>
      </c>
      <c r="E46" s="19" t="s">
        <v>554</v>
      </c>
      <c r="F46" s="19">
        <v>80082241</v>
      </c>
      <c r="G46" s="19" t="s">
        <v>770</v>
      </c>
      <c r="H46" s="19" t="s">
        <v>771</v>
      </c>
      <c r="I46" s="19" t="s">
        <v>687</v>
      </c>
      <c r="J46" s="20">
        <v>1</v>
      </c>
      <c r="K46" s="21">
        <v>44469</v>
      </c>
      <c r="L46" s="21">
        <v>44469</v>
      </c>
      <c r="N46" s="24" t="s">
        <v>2448</v>
      </c>
      <c r="O46" s="19" t="s">
        <v>557</v>
      </c>
      <c r="P46" s="19" t="s">
        <v>568</v>
      </c>
      <c r="Q46" s="19" t="s">
        <v>569</v>
      </c>
      <c r="R46" s="19" t="s">
        <v>591</v>
      </c>
      <c r="S46" s="19" t="s">
        <v>772</v>
      </c>
      <c r="T46" t="s">
        <v>51</v>
      </c>
      <c r="U46" s="22">
        <v>1612.5</v>
      </c>
      <c r="V46" s="22">
        <v>8700.5</v>
      </c>
      <c r="W46" s="22">
        <v>13223.83</v>
      </c>
      <c r="X46" s="22">
        <v>4093.17</v>
      </c>
      <c r="Y46" s="22">
        <v>25244.67</v>
      </c>
      <c r="Z46" s="22">
        <v>2000.83</v>
      </c>
      <c r="AA46" s="22">
        <v>0</v>
      </c>
      <c r="AB46" s="22">
        <v>-9.5</v>
      </c>
      <c r="AC46" s="22">
        <v>0</v>
      </c>
      <c r="AD46" s="22">
        <v>0</v>
      </c>
      <c r="AE46" s="22">
        <v>40081</v>
      </c>
      <c r="AF46" s="22">
        <f t="shared" si="0"/>
        <v>40071.5</v>
      </c>
      <c r="AG46" s="22">
        <v>14794.5</v>
      </c>
      <c r="AH46" s="22">
        <v>54866</v>
      </c>
      <c r="AI46" t="s">
        <v>562</v>
      </c>
      <c r="AJ46" t="s">
        <v>563</v>
      </c>
    </row>
    <row r="47" spans="1:36" ht="43.5" outlineLevel="2" x14ac:dyDescent="0.35">
      <c r="A47" s="19" t="s">
        <v>551</v>
      </c>
      <c r="B47" s="19" t="s">
        <v>722</v>
      </c>
      <c r="C47" s="19" t="s">
        <v>723</v>
      </c>
      <c r="D47" s="19">
        <v>2021</v>
      </c>
      <c r="E47" s="19" t="s">
        <v>554</v>
      </c>
      <c r="F47" s="19">
        <v>80091559</v>
      </c>
      <c r="G47" s="19" t="s">
        <v>773</v>
      </c>
      <c r="H47" s="19" t="s">
        <v>774</v>
      </c>
      <c r="I47" s="19" t="s">
        <v>31</v>
      </c>
      <c r="J47" s="20">
        <v>1</v>
      </c>
      <c r="K47" s="21">
        <v>44469</v>
      </c>
      <c r="L47" s="21">
        <v>44474</v>
      </c>
      <c r="M47" s="21">
        <v>44600</v>
      </c>
      <c r="N47" s="24" t="s">
        <v>2448</v>
      </c>
      <c r="O47" s="19" t="s">
        <v>557</v>
      </c>
      <c r="P47" s="19" t="s">
        <v>609</v>
      </c>
      <c r="Q47" s="19" t="s">
        <v>590</v>
      </c>
      <c r="R47" s="19" t="s">
        <v>570</v>
      </c>
      <c r="S47" s="19" t="s">
        <v>775</v>
      </c>
      <c r="T47" t="s">
        <v>51</v>
      </c>
      <c r="U47" s="22">
        <v>0</v>
      </c>
      <c r="V47" s="22">
        <v>0</v>
      </c>
      <c r="W47" s="22">
        <v>2082.06</v>
      </c>
      <c r="X47" s="22">
        <v>0</v>
      </c>
      <c r="Y47" s="22">
        <v>262.27</v>
      </c>
      <c r="Z47" s="22">
        <v>0</v>
      </c>
      <c r="AA47" s="22">
        <v>0</v>
      </c>
      <c r="AB47" s="22">
        <v>0</v>
      </c>
      <c r="AC47" s="22">
        <v>0</v>
      </c>
      <c r="AD47" s="22">
        <v>0</v>
      </c>
      <c r="AE47" s="22">
        <v>2344.33</v>
      </c>
      <c r="AF47" s="22">
        <f t="shared" si="0"/>
        <v>2344.33</v>
      </c>
      <c r="AG47" s="22">
        <v>0</v>
      </c>
      <c r="AH47" s="22">
        <v>2344.33</v>
      </c>
      <c r="AI47" t="s">
        <v>562</v>
      </c>
      <c r="AJ47" t="s">
        <v>563</v>
      </c>
    </row>
    <row r="48" spans="1:36" ht="87" outlineLevel="2" x14ac:dyDescent="0.35">
      <c r="A48" s="19" t="s">
        <v>551</v>
      </c>
      <c r="B48" s="19" t="s">
        <v>552</v>
      </c>
      <c r="C48" s="19" t="s">
        <v>553</v>
      </c>
      <c r="D48" s="19">
        <v>2021</v>
      </c>
      <c r="E48" s="19" t="s">
        <v>554</v>
      </c>
      <c r="F48" s="19">
        <v>80091586</v>
      </c>
      <c r="G48" s="19" t="s">
        <v>776</v>
      </c>
      <c r="H48" s="19" t="s">
        <v>777</v>
      </c>
      <c r="I48" s="19" t="s">
        <v>31</v>
      </c>
      <c r="J48" s="20">
        <v>1</v>
      </c>
      <c r="K48" s="21">
        <v>44467</v>
      </c>
      <c r="L48" s="21">
        <v>44475</v>
      </c>
      <c r="M48" s="21">
        <v>44630</v>
      </c>
      <c r="N48" s="24" t="s">
        <v>2448</v>
      </c>
      <c r="O48" s="19" t="s">
        <v>557</v>
      </c>
      <c r="P48" s="19" t="s">
        <v>568</v>
      </c>
      <c r="Q48" s="19" t="s">
        <v>778</v>
      </c>
      <c r="R48" s="19" t="s">
        <v>591</v>
      </c>
      <c r="S48" s="19" t="s">
        <v>779</v>
      </c>
      <c r="T48" t="s">
        <v>85</v>
      </c>
      <c r="U48" s="22">
        <v>0</v>
      </c>
      <c r="V48" s="22">
        <v>0</v>
      </c>
      <c r="W48" s="22">
        <v>1073.73</v>
      </c>
      <c r="X48" s="22">
        <v>0</v>
      </c>
      <c r="Y48" s="22">
        <v>105.54</v>
      </c>
      <c r="Z48" s="22">
        <v>0</v>
      </c>
      <c r="AA48" s="22">
        <v>0</v>
      </c>
      <c r="AB48" s="22">
        <v>-0.06</v>
      </c>
      <c r="AC48" s="22">
        <v>0</v>
      </c>
      <c r="AD48" s="22">
        <v>0</v>
      </c>
      <c r="AE48" s="22">
        <v>1179.27</v>
      </c>
      <c r="AF48" s="22">
        <f t="shared" si="0"/>
        <v>1179.21</v>
      </c>
      <c r="AG48" s="22">
        <v>0</v>
      </c>
      <c r="AH48" s="22">
        <v>1179.21</v>
      </c>
      <c r="AI48" t="s">
        <v>562</v>
      </c>
      <c r="AJ48" t="s">
        <v>563</v>
      </c>
    </row>
    <row r="49" spans="1:36" ht="58" outlineLevel="2" x14ac:dyDescent="0.35">
      <c r="A49" s="19" t="s">
        <v>551</v>
      </c>
      <c r="B49" s="19" t="s">
        <v>658</v>
      </c>
      <c r="C49" s="19" t="s">
        <v>643</v>
      </c>
      <c r="D49" s="19">
        <v>2021</v>
      </c>
      <c r="E49" s="19" t="s">
        <v>554</v>
      </c>
      <c r="F49" s="19">
        <v>80091478</v>
      </c>
      <c r="G49" s="19" t="s">
        <v>780</v>
      </c>
      <c r="H49" s="19" t="s">
        <v>781</v>
      </c>
      <c r="I49" s="19" t="s">
        <v>31</v>
      </c>
      <c r="J49" s="20">
        <v>1</v>
      </c>
      <c r="K49" s="21">
        <v>44457</v>
      </c>
      <c r="L49" s="21">
        <v>44457</v>
      </c>
      <c r="M49" s="21">
        <v>44853</v>
      </c>
      <c r="N49" s="24" t="s">
        <v>2448</v>
      </c>
      <c r="O49" s="19" t="s">
        <v>557</v>
      </c>
      <c r="P49" s="19" t="s">
        <v>609</v>
      </c>
      <c r="Q49" s="19" t="s">
        <v>782</v>
      </c>
      <c r="R49" s="19" t="s">
        <v>708</v>
      </c>
      <c r="S49" s="19" t="s">
        <v>783</v>
      </c>
      <c r="T49" t="s">
        <v>62</v>
      </c>
      <c r="U49" s="22">
        <v>38907.9</v>
      </c>
      <c r="V49" s="22">
        <v>0</v>
      </c>
      <c r="W49" s="22">
        <v>15311.33</v>
      </c>
      <c r="X49" s="22">
        <v>0</v>
      </c>
      <c r="Y49" s="22">
        <v>8093.31</v>
      </c>
      <c r="Z49" s="22">
        <v>0</v>
      </c>
      <c r="AA49" s="22">
        <v>0</v>
      </c>
      <c r="AB49" s="22">
        <v>0</v>
      </c>
      <c r="AC49" s="22">
        <v>0</v>
      </c>
      <c r="AD49" s="22">
        <v>0</v>
      </c>
      <c r="AE49" s="22">
        <v>62312.54</v>
      </c>
      <c r="AF49" s="22">
        <f t="shared" si="0"/>
        <v>62312.54</v>
      </c>
      <c r="AG49" s="22">
        <v>0</v>
      </c>
      <c r="AH49" s="22">
        <v>62312.54</v>
      </c>
      <c r="AI49" t="s">
        <v>562</v>
      </c>
      <c r="AJ49" t="s">
        <v>563</v>
      </c>
    </row>
    <row r="50" spans="1:36" ht="43.5" outlineLevel="2" x14ac:dyDescent="0.35">
      <c r="A50" s="19" t="s">
        <v>551</v>
      </c>
      <c r="B50" s="19" t="s">
        <v>605</v>
      </c>
      <c r="C50" s="19" t="s">
        <v>606</v>
      </c>
      <c r="D50" s="19">
        <v>2021</v>
      </c>
      <c r="E50" s="19" t="s">
        <v>554</v>
      </c>
      <c r="F50" s="19">
        <v>80091531</v>
      </c>
      <c r="G50" s="19" t="s">
        <v>784</v>
      </c>
      <c r="H50" s="19" t="s">
        <v>785</v>
      </c>
      <c r="I50" s="19" t="s">
        <v>31</v>
      </c>
      <c r="J50" s="20">
        <v>1</v>
      </c>
      <c r="K50" s="21">
        <v>44455</v>
      </c>
      <c r="L50" s="21">
        <v>44461</v>
      </c>
      <c r="M50" s="21">
        <v>44508</v>
      </c>
      <c r="N50" s="24" t="s">
        <v>2448</v>
      </c>
      <c r="O50" s="19" t="s">
        <v>557</v>
      </c>
      <c r="P50" s="19" t="s">
        <v>568</v>
      </c>
      <c r="Q50" s="19" t="s">
        <v>735</v>
      </c>
      <c r="R50" s="19" t="s">
        <v>570</v>
      </c>
      <c r="S50" s="19" t="s">
        <v>786</v>
      </c>
      <c r="T50" t="s">
        <v>69</v>
      </c>
      <c r="U50" s="22">
        <v>0</v>
      </c>
      <c r="V50" s="22">
        <v>0</v>
      </c>
      <c r="W50" s="22">
        <v>410.75</v>
      </c>
      <c r="X50" s="22">
        <v>0</v>
      </c>
      <c r="Y50" s="22">
        <v>237.83</v>
      </c>
      <c r="Z50" s="22">
        <v>0</v>
      </c>
      <c r="AA50" s="22">
        <v>0</v>
      </c>
      <c r="AB50" s="22">
        <v>0</v>
      </c>
      <c r="AC50" s="22">
        <v>0</v>
      </c>
      <c r="AD50" s="22">
        <v>0</v>
      </c>
      <c r="AE50" s="22">
        <v>648.58000000000004</v>
      </c>
      <c r="AF50" s="22">
        <f t="shared" si="0"/>
        <v>648.58000000000004</v>
      </c>
      <c r="AG50" s="22">
        <v>0</v>
      </c>
      <c r="AH50" s="22">
        <v>648.58000000000004</v>
      </c>
      <c r="AI50" t="s">
        <v>562</v>
      </c>
      <c r="AJ50" t="s">
        <v>563</v>
      </c>
    </row>
    <row r="51" spans="1:36" ht="58" outlineLevel="2" x14ac:dyDescent="0.35">
      <c r="A51" s="19" t="s">
        <v>551</v>
      </c>
      <c r="B51" s="19" t="s">
        <v>740</v>
      </c>
      <c r="C51" s="19" t="s">
        <v>741</v>
      </c>
      <c r="D51" s="19">
        <v>2021</v>
      </c>
      <c r="E51" s="19" t="s">
        <v>554</v>
      </c>
      <c r="F51" s="19">
        <v>80091547</v>
      </c>
      <c r="G51" s="19" t="s">
        <v>787</v>
      </c>
      <c r="H51" s="19" t="s">
        <v>788</v>
      </c>
      <c r="I51" s="19" t="s">
        <v>31</v>
      </c>
      <c r="J51" s="20">
        <v>1</v>
      </c>
      <c r="K51" s="21">
        <v>44453</v>
      </c>
      <c r="L51" s="21">
        <v>44468</v>
      </c>
      <c r="M51" s="21">
        <v>44525</v>
      </c>
      <c r="N51" s="24" t="s">
        <v>2448</v>
      </c>
      <c r="O51" s="19" t="s">
        <v>557</v>
      </c>
      <c r="P51" s="19" t="s">
        <v>665</v>
      </c>
      <c r="Q51" s="19" t="s">
        <v>569</v>
      </c>
      <c r="R51" s="19" t="s">
        <v>570</v>
      </c>
      <c r="S51" s="19" t="s">
        <v>789</v>
      </c>
      <c r="T51" t="s">
        <v>45</v>
      </c>
      <c r="U51" s="22">
        <v>0</v>
      </c>
      <c r="V51" s="22">
        <v>0</v>
      </c>
      <c r="W51" s="22">
        <v>265.64</v>
      </c>
      <c r="X51" s="22">
        <v>0</v>
      </c>
      <c r="Y51" s="22">
        <v>85.65</v>
      </c>
      <c r="Z51" s="22">
        <v>0</v>
      </c>
      <c r="AA51" s="22">
        <v>0</v>
      </c>
      <c r="AB51" s="22">
        <v>0</v>
      </c>
      <c r="AC51" s="22">
        <v>0</v>
      </c>
      <c r="AD51" s="22">
        <v>0</v>
      </c>
      <c r="AE51" s="22">
        <v>351.29</v>
      </c>
      <c r="AF51" s="22">
        <f t="shared" si="0"/>
        <v>351.29</v>
      </c>
      <c r="AG51" s="22">
        <v>0</v>
      </c>
      <c r="AH51" s="22">
        <v>351.29</v>
      </c>
      <c r="AI51" t="s">
        <v>562</v>
      </c>
      <c r="AJ51" t="s">
        <v>563</v>
      </c>
    </row>
    <row r="52" spans="1:36" ht="58" outlineLevel="2" x14ac:dyDescent="0.35">
      <c r="A52" s="19" t="s">
        <v>551</v>
      </c>
      <c r="B52" s="19" t="s">
        <v>605</v>
      </c>
      <c r="C52" s="19" t="s">
        <v>606</v>
      </c>
      <c r="D52" s="19">
        <v>2021</v>
      </c>
      <c r="E52" s="19" t="s">
        <v>554</v>
      </c>
      <c r="F52" s="19">
        <v>80091535</v>
      </c>
      <c r="G52" s="19" t="s">
        <v>790</v>
      </c>
      <c r="H52" s="19" t="s">
        <v>791</v>
      </c>
      <c r="I52" s="19" t="s">
        <v>31</v>
      </c>
      <c r="J52" s="20">
        <v>1</v>
      </c>
      <c r="K52" s="21">
        <v>44442</v>
      </c>
      <c r="L52" s="21">
        <v>44449</v>
      </c>
      <c r="M52" s="21">
        <v>44573</v>
      </c>
      <c r="N52" s="24" t="s">
        <v>2448</v>
      </c>
      <c r="O52" s="19" t="s">
        <v>603</v>
      </c>
      <c r="P52" s="19" t="s">
        <v>576</v>
      </c>
      <c r="Q52" s="19" t="s">
        <v>569</v>
      </c>
      <c r="R52" s="19" t="s">
        <v>792</v>
      </c>
      <c r="S52" s="19" t="s">
        <v>793</v>
      </c>
      <c r="T52" t="s">
        <v>69</v>
      </c>
      <c r="U52" s="22">
        <v>0</v>
      </c>
      <c r="V52" s="22">
        <v>0</v>
      </c>
      <c r="W52" s="22">
        <v>0</v>
      </c>
      <c r="X52" s="22">
        <v>0</v>
      </c>
      <c r="Y52" s="22">
        <v>0</v>
      </c>
      <c r="Z52" s="22">
        <v>0</v>
      </c>
      <c r="AA52" s="22">
        <v>0</v>
      </c>
      <c r="AB52" s="22">
        <v>0</v>
      </c>
      <c r="AC52" s="22">
        <v>0</v>
      </c>
      <c r="AD52" s="22">
        <v>0</v>
      </c>
      <c r="AE52" s="22">
        <v>0</v>
      </c>
      <c r="AF52" s="22">
        <f t="shared" si="0"/>
        <v>0</v>
      </c>
      <c r="AG52" s="22">
        <v>0</v>
      </c>
      <c r="AH52" s="22">
        <v>0</v>
      </c>
      <c r="AI52" t="s">
        <v>562</v>
      </c>
      <c r="AJ52" t="s">
        <v>563</v>
      </c>
    </row>
    <row r="53" spans="1:36" ht="43.5" outlineLevel="2" x14ac:dyDescent="0.35">
      <c r="A53" s="19" t="s">
        <v>551</v>
      </c>
      <c r="B53" s="19" t="s">
        <v>794</v>
      </c>
      <c r="C53" s="19" t="s">
        <v>749</v>
      </c>
      <c r="D53" s="19">
        <v>2021</v>
      </c>
      <c r="E53" s="19" t="s">
        <v>554</v>
      </c>
      <c r="F53" s="19">
        <v>80091497</v>
      </c>
      <c r="G53" s="19" t="s">
        <v>795</v>
      </c>
      <c r="H53" s="19" t="s">
        <v>796</v>
      </c>
      <c r="I53" s="19" t="s">
        <v>31</v>
      </c>
      <c r="J53" s="20">
        <v>1</v>
      </c>
      <c r="K53" s="21">
        <v>44440</v>
      </c>
      <c r="L53" s="21">
        <v>44446</v>
      </c>
      <c r="M53" s="21">
        <v>44466</v>
      </c>
      <c r="N53" s="24" t="s">
        <v>2448</v>
      </c>
      <c r="O53" s="19" t="s">
        <v>557</v>
      </c>
      <c r="P53" s="19" t="s">
        <v>568</v>
      </c>
      <c r="Q53" s="19" t="s">
        <v>778</v>
      </c>
      <c r="R53" s="19" t="s">
        <v>570</v>
      </c>
      <c r="S53" s="19" t="s">
        <v>797</v>
      </c>
      <c r="T53" t="s">
        <v>212</v>
      </c>
      <c r="U53" s="22">
        <v>0</v>
      </c>
      <c r="V53" s="22">
        <v>0</v>
      </c>
      <c r="W53" s="22">
        <v>536.76</v>
      </c>
      <c r="X53" s="22">
        <v>0</v>
      </c>
      <c r="Y53" s="22">
        <v>33.979999999999997</v>
      </c>
      <c r="Z53" s="22">
        <v>0</v>
      </c>
      <c r="AA53" s="22">
        <v>0</v>
      </c>
      <c r="AB53" s="22">
        <v>0</v>
      </c>
      <c r="AC53" s="22">
        <v>0</v>
      </c>
      <c r="AD53" s="22">
        <v>0</v>
      </c>
      <c r="AE53" s="22">
        <v>570.74</v>
      </c>
      <c r="AF53" s="22">
        <f t="shared" si="0"/>
        <v>570.74</v>
      </c>
      <c r="AG53" s="22">
        <v>0</v>
      </c>
      <c r="AH53" s="22">
        <v>570.74</v>
      </c>
      <c r="AI53" t="s">
        <v>562</v>
      </c>
      <c r="AJ53" t="s">
        <v>563</v>
      </c>
    </row>
    <row r="54" spans="1:36" ht="72.5" outlineLevel="2" x14ac:dyDescent="0.35">
      <c r="A54" s="19" t="s">
        <v>551</v>
      </c>
      <c r="B54" s="19" t="s">
        <v>798</v>
      </c>
      <c r="C54" s="19" t="s">
        <v>673</v>
      </c>
      <c r="D54" s="19">
        <v>2021</v>
      </c>
      <c r="E54" s="19" t="s">
        <v>554</v>
      </c>
      <c r="F54" s="19">
        <v>80091573</v>
      </c>
      <c r="G54" s="19" t="s">
        <v>799</v>
      </c>
      <c r="H54" s="19" t="s">
        <v>800</v>
      </c>
      <c r="I54" s="19" t="s">
        <v>31</v>
      </c>
      <c r="J54" s="20">
        <v>1</v>
      </c>
      <c r="K54" s="21">
        <v>44438</v>
      </c>
      <c r="L54" s="21">
        <v>44440</v>
      </c>
      <c r="M54" s="21">
        <v>44490</v>
      </c>
      <c r="N54" s="24" t="s">
        <v>2448</v>
      </c>
      <c r="O54" s="19" t="s">
        <v>557</v>
      </c>
      <c r="P54" s="19" t="s">
        <v>576</v>
      </c>
      <c r="Q54" s="19" t="s">
        <v>577</v>
      </c>
      <c r="R54" s="19" t="s">
        <v>670</v>
      </c>
      <c r="S54" s="19" t="s">
        <v>801</v>
      </c>
      <c r="T54" t="s">
        <v>51</v>
      </c>
      <c r="U54" s="22">
        <v>0</v>
      </c>
      <c r="V54" s="22">
        <v>0</v>
      </c>
      <c r="W54" s="22">
        <v>461.44</v>
      </c>
      <c r="X54" s="22">
        <v>0</v>
      </c>
      <c r="Y54" s="22">
        <v>73.05</v>
      </c>
      <c r="Z54" s="22">
        <v>0</v>
      </c>
      <c r="AA54" s="22">
        <v>0</v>
      </c>
      <c r="AB54" s="22">
        <v>0</v>
      </c>
      <c r="AC54" s="22">
        <v>0</v>
      </c>
      <c r="AD54" s="22">
        <v>0</v>
      </c>
      <c r="AE54" s="22">
        <v>534.49</v>
      </c>
      <c r="AF54" s="22">
        <f t="shared" si="0"/>
        <v>534.49</v>
      </c>
      <c r="AG54" s="22">
        <v>0</v>
      </c>
      <c r="AH54" s="22">
        <v>534.49</v>
      </c>
      <c r="AI54" t="s">
        <v>562</v>
      </c>
      <c r="AJ54" t="s">
        <v>563</v>
      </c>
    </row>
    <row r="55" spans="1:36" ht="43.5" outlineLevel="2" x14ac:dyDescent="0.35">
      <c r="A55" s="19" t="s">
        <v>551</v>
      </c>
      <c r="B55" s="19" t="s">
        <v>748</v>
      </c>
      <c r="C55" s="19" t="s">
        <v>749</v>
      </c>
      <c r="D55" s="19">
        <v>2021</v>
      </c>
      <c r="E55" s="19" t="s">
        <v>554</v>
      </c>
      <c r="F55" s="19">
        <v>80091540</v>
      </c>
      <c r="G55" s="19" t="s">
        <v>802</v>
      </c>
      <c r="H55" s="19" t="s">
        <v>803</v>
      </c>
      <c r="I55" s="19" t="s">
        <v>31</v>
      </c>
      <c r="J55" s="20">
        <v>1</v>
      </c>
      <c r="K55" s="21">
        <v>44435</v>
      </c>
      <c r="L55" s="21">
        <v>44439</v>
      </c>
      <c r="M55" s="21">
        <v>44595</v>
      </c>
      <c r="N55" s="24" t="s">
        <v>2448</v>
      </c>
      <c r="O55" s="19" t="s">
        <v>557</v>
      </c>
      <c r="P55" s="19" t="s">
        <v>609</v>
      </c>
      <c r="Q55" s="19" t="s">
        <v>720</v>
      </c>
      <c r="R55" s="19" t="s">
        <v>591</v>
      </c>
      <c r="S55" s="19" t="s">
        <v>804</v>
      </c>
      <c r="T55" t="s">
        <v>121</v>
      </c>
      <c r="U55" s="22">
        <v>0</v>
      </c>
      <c r="V55" s="22">
        <v>0</v>
      </c>
      <c r="W55" s="22">
        <v>337.05</v>
      </c>
      <c r="X55" s="22">
        <v>0</v>
      </c>
      <c r="Y55" s="22">
        <v>77.930000000000007</v>
      </c>
      <c r="Z55" s="22">
        <v>0</v>
      </c>
      <c r="AA55" s="22">
        <v>0</v>
      </c>
      <c r="AB55" s="22">
        <v>0</v>
      </c>
      <c r="AC55" s="22">
        <v>0</v>
      </c>
      <c r="AD55" s="22">
        <v>0</v>
      </c>
      <c r="AE55" s="22">
        <v>414.98</v>
      </c>
      <c r="AF55" s="22">
        <f t="shared" si="0"/>
        <v>414.98</v>
      </c>
      <c r="AG55" s="22">
        <v>0</v>
      </c>
      <c r="AH55" s="22">
        <v>414.98</v>
      </c>
      <c r="AI55" t="s">
        <v>562</v>
      </c>
      <c r="AJ55" t="s">
        <v>563</v>
      </c>
    </row>
    <row r="56" spans="1:36" ht="43.5" outlineLevel="2" x14ac:dyDescent="0.35">
      <c r="A56" s="19" t="s">
        <v>551</v>
      </c>
      <c r="B56" s="19" t="s">
        <v>697</v>
      </c>
      <c r="C56" s="19" t="s">
        <v>698</v>
      </c>
      <c r="D56" s="19">
        <v>2021</v>
      </c>
      <c r="E56" s="19" t="s">
        <v>554</v>
      </c>
      <c r="F56" s="19">
        <v>80091477</v>
      </c>
      <c r="G56" s="19" t="s">
        <v>805</v>
      </c>
      <c r="H56" s="19" t="s">
        <v>806</v>
      </c>
      <c r="I56" s="19" t="s">
        <v>31</v>
      </c>
      <c r="J56" s="20">
        <v>1</v>
      </c>
      <c r="K56" s="21">
        <v>44426</v>
      </c>
      <c r="L56" s="21">
        <v>44427</v>
      </c>
      <c r="M56" s="21">
        <v>44781</v>
      </c>
      <c r="N56" s="24" t="s">
        <v>2448</v>
      </c>
      <c r="O56" s="19" t="s">
        <v>603</v>
      </c>
      <c r="P56" s="19" t="s">
        <v>665</v>
      </c>
      <c r="Q56" s="19" t="s">
        <v>735</v>
      </c>
      <c r="R56" s="19" t="s">
        <v>570</v>
      </c>
      <c r="S56" s="19" t="s">
        <v>807</v>
      </c>
      <c r="T56" t="s">
        <v>69</v>
      </c>
      <c r="U56" s="22">
        <v>0</v>
      </c>
      <c r="V56" s="22">
        <v>0</v>
      </c>
      <c r="W56" s="22">
        <v>3175.79</v>
      </c>
      <c r="X56" s="22">
        <v>0</v>
      </c>
      <c r="Y56" s="22">
        <v>904.8</v>
      </c>
      <c r="Z56" s="22">
        <v>0</v>
      </c>
      <c r="AA56" s="22">
        <v>0</v>
      </c>
      <c r="AB56" s="22">
        <v>-378.26</v>
      </c>
      <c r="AC56" s="22">
        <v>0</v>
      </c>
      <c r="AD56" s="22">
        <v>0</v>
      </c>
      <c r="AE56" s="22">
        <v>4080.59</v>
      </c>
      <c r="AF56" s="22">
        <f t="shared" si="0"/>
        <v>3702.33</v>
      </c>
      <c r="AG56" s="22">
        <v>0</v>
      </c>
      <c r="AH56" s="22">
        <v>3702.33</v>
      </c>
      <c r="AI56" t="s">
        <v>562</v>
      </c>
      <c r="AJ56" t="s">
        <v>563</v>
      </c>
    </row>
    <row r="57" spans="1:36" ht="87" outlineLevel="2" x14ac:dyDescent="0.35">
      <c r="A57" s="19" t="s">
        <v>551</v>
      </c>
      <c r="B57" s="19" t="s">
        <v>605</v>
      </c>
      <c r="C57" s="19" t="s">
        <v>606</v>
      </c>
      <c r="D57" s="19">
        <v>2021</v>
      </c>
      <c r="E57" s="19" t="s">
        <v>554</v>
      </c>
      <c r="F57" s="19">
        <v>80091509</v>
      </c>
      <c r="G57" s="19" t="s">
        <v>808</v>
      </c>
      <c r="H57" s="19" t="s">
        <v>809</v>
      </c>
      <c r="I57" s="19" t="s">
        <v>31</v>
      </c>
      <c r="J57" s="20">
        <v>1</v>
      </c>
      <c r="K57" s="21">
        <v>44420</v>
      </c>
      <c r="L57" s="21">
        <v>44448</v>
      </c>
      <c r="M57" s="21">
        <v>44607</v>
      </c>
      <c r="N57" s="24" t="s">
        <v>2448</v>
      </c>
      <c r="O57" s="19" t="s">
        <v>557</v>
      </c>
      <c r="P57" s="19" t="s">
        <v>665</v>
      </c>
      <c r="Q57" s="19" t="s">
        <v>597</v>
      </c>
      <c r="R57" s="19" t="s">
        <v>570</v>
      </c>
      <c r="S57" s="19" t="s">
        <v>810</v>
      </c>
      <c r="T57" t="s">
        <v>69</v>
      </c>
      <c r="U57" s="22">
        <v>0</v>
      </c>
      <c r="V57" s="22">
        <v>0</v>
      </c>
      <c r="W57" s="22">
        <v>647.32000000000005</v>
      </c>
      <c r="X57" s="22">
        <v>0</v>
      </c>
      <c r="Y57" s="22">
        <v>138.72</v>
      </c>
      <c r="Z57" s="22">
        <v>0</v>
      </c>
      <c r="AA57" s="22">
        <v>0</v>
      </c>
      <c r="AB57" s="22">
        <v>-88.92</v>
      </c>
      <c r="AC57" s="22">
        <v>0</v>
      </c>
      <c r="AD57" s="22">
        <v>0</v>
      </c>
      <c r="AE57" s="22">
        <v>786.04</v>
      </c>
      <c r="AF57" s="22">
        <f t="shared" si="0"/>
        <v>697.12</v>
      </c>
      <c r="AG57" s="22">
        <v>0</v>
      </c>
      <c r="AH57" s="22">
        <v>697.12</v>
      </c>
      <c r="AI57" t="s">
        <v>562</v>
      </c>
      <c r="AJ57" t="s">
        <v>563</v>
      </c>
    </row>
    <row r="58" spans="1:36" ht="43.5" outlineLevel="2" x14ac:dyDescent="0.35">
      <c r="A58" s="19" t="s">
        <v>551</v>
      </c>
      <c r="B58" s="19" t="s">
        <v>658</v>
      </c>
      <c r="C58" s="19" t="s">
        <v>643</v>
      </c>
      <c r="D58" s="19">
        <v>2021</v>
      </c>
      <c r="E58" s="19" t="s">
        <v>554</v>
      </c>
      <c r="F58" s="19">
        <v>80091507</v>
      </c>
      <c r="G58" s="19" t="s">
        <v>811</v>
      </c>
      <c r="H58" s="19" t="s">
        <v>812</v>
      </c>
      <c r="I58" s="19" t="s">
        <v>31</v>
      </c>
      <c r="J58" s="20">
        <v>1</v>
      </c>
      <c r="K58" s="21">
        <v>44411</v>
      </c>
      <c r="L58" s="21">
        <v>44418</v>
      </c>
      <c r="M58" s="21">
        <v>44903</v>
      </c>
      <c r="N58" s="24" t="s">
        <v>2448</v>
      </c>
      <c r="O58" s="19" t="s">
        <v>557</v>
      </c>
      <c r="P58" s="19" t="s">
        <v>568</v>
      </c>
      <c r="Q58" s="19" t="s">
        <v>661</v>
      </c>
      <c r="R58" s="19" t="s">
        <v>591</v>
      </c>
      <c r="S58" s="19" t="s">
        <v>813</v>
      </c>
      <c r="T58" t="s">
        <v>62</v>
      </c>
      <c r="U58" s="22">
        <v>6009.84</v>
      </c>
      <c r="V58" s="22">
        <v>0</v>
      </c>
      <c r="W58" s="22">
        <v>2272.5100000000002</v>
      </c>
      <c r="X58" s="22">
        <v>0</v>
      </c>
      <c r="Y58" s="22">
        <v>2127.19</v>
      </c>
      <c r="Z58" s="22">
        <v>0</v>
      </c>
      <c r="AA58" s="22">
        <v>-5333.33</v>
      </c>
      <c r="AB58" s="22">
        <v>-5.14</v>
      </c>
      <c r="AC58" s="22">
        <v>0</v>
      </c>
      <c r="AD58" s="22">
        <v>0</v>
      </c>
      <c r="AE58" s="22">
        <v>10409.540000000001</v>
      </c>
      <c r="AF58" s="22">
        <f t="shared" si="0"/>
        <v>5071.0700000000006</v>
      </c>
      <c r="AG58" s="22">
        <v>0</v>
      </c>
      <c r="AH58" s="22">
        <v>5071.07</v>
      </c>
      <c r="AI58" t="s">
        <v>562</v>
      </c>
      <c r="AJ58" t="s">
        <v>563</v>
      </c>
    </row>
    <row r="59" spans="1:36" ht="43.5" outlineLevel="2" x14ac:dyDescent="0.35">
      <c r="A59" s="19" t="s">
        <v>551</v>
      </c>
      <c r="B59" s="19" t="s">
        <v>794</v>
      </c>
      <c r="C59" s="19" t="s">
        <v>749</v>
      </c>
      <c r="D59" s="19">
        <v>2021</v>
      </c>
      <c r="E59" s="19" t="s">
        <v>554</v>
      </c>
      <c r="F59" s="19">
        <v>80091496</v>
      </c>
      <c r="G59" s="19" t="s">
        <v>814</v>
      </c>
      <c r="H59" s="19" t="s">
        <v>815</v>
      </c>
      <c r="I59" s="19" t="s">
        <v>31</v>
      </c>
      <c r="J59" s="20">
        <v>1</v>
      </c>
      <c r="K59" s="21">
        <v>44406</v>
      </c>
      <c r="L59" s="21">
        <v>44410</v>
      </c>
      <c r="M59" s="21">
        <v>44433</v>
      </c>
      <c r="N59" s="24" t="s">
        <v>2448</v>
      </c>
      <c r="O59" s="19" t="s">
        <v>557</v>
      </c>
      <c r="P59" s="19" t="s">
        <v>568</v>
      </c>
      <c r="Q59" s="19" t="s">
        <v>816</v>
      </c>
      <c r="R59" s="19" t="s">
        <v>570</v>
      </c>
      <c r="S59" s="19" t="s">
        <v>817</v>
      </c>
      <c r="T59" t="s">
        <v>212</v>
      </c>
      <c r="U59" s="22">
        <v>0</v>
      </c>
      <c r="V59" s="22">
        <v>0</v>
      </c>
      <c r="W59" s="22">
        <v>270.02999999999997</v>
      </c>
      <c r="X59" s="22">
        <v>0</v>
      </c>
      <c r="Y59" s="22">
        <v>38.700000000000003</v>
      </c>
      <c r="Z59" s="22">
        <v>0</v>
      </c>
      <c r="AA59" s="22">
        <v>0</v>
      </c>
      <c r="AB59" s="22">
        <v>0</v>
      </c>
      <c r="AC59" s="22">
        <v>0</v>
      </c>
      <c r="AD59" s="22">
        <v>0</v>
      </c>
      <c r="AE59" s="22">
        <v>308.73</v>
      </c>
      <c r="AF59" s="22">
        <f t="shared" si="0"/>
        <v>308.73</v>
      </c>
      <c r="AG59" s="22">
        <v>0</v>
      </c>
      <c r="AH59" s="22">
        <v>308.73</v>
      </c>
      <c r="AI59" t="s">
        <v>562</v>
      </c>
      <c r="AJ59" t="s">
        <v>563</v>
      </c>
    </row>
    <row r="60" spans="1:36" ht="116" outlineLevel="2" x14ac:dyDescent="0.35">
      <c r="A60" s="19" t="s">
        <v>551</v>
      </c>
      <c r="B60" s="19" t="s">
        <v>605</v>
      </c>
      <c r="C60" s="19" t="s">
        <v>606</v>
      </c>
      <c r="D60" s="19">
        <v>2021</v>
      </c>
      <c r="E60" s="19" t="s">
        <v>554</v>
      </c>
      <c r="F60" s="19">
        <v>80091476</v>
      </c>
      <c r="G60" s="19" t="s">
        <v>818</v>
      </c>
      <c r="H60" s="19" t="s">
        <v>819</v>
      </c>
      <c r="I60" s="19" t="s">
        <v>31</v>
      </c>
      <c r="J60" s="20">
        <v>1</v>
      </c>
      <c r="K60" s="21">
        <v>44403</v>
      </c>
      <c r="L60" s="21">
        <v>44405</v>
      </c>
      <c r="M60" s="21">
        <v>44440</v>
      </c>
      <c r="N60" s="24" t="s">
        <v>2448</v>
      </c>
      <c r="O60" s="19" t="s">
        <v>557</v>
      </c>
      <c r="P60" s="19" t="s">
        <v>568</v>
      </c>
      <c r="Q60" s="19" t="s">
        <v>625</v>
      </c>
      <c r="R60" s="19" t="s">
        <v>578</v>
      </c>
      <c r="S60" s="19" t="s">
        <v>820</v>
      </c>
      <c r="T60" t="s">
        <v>69</v>
      </c>
      <c r="U60" s="22">
        <v>0</v>
      </c>
      <c r="V60" s="22">
        <v>0</v>
      </c>
      <c r="W60" s="22">
        <v>472.44</v>
      </c>
      <c r="X60" s="22">
        <v>0</v>
      </c>
      <c r="Y60" s="22">
        <v>208.49</v>
      </c>
      <c r="Z60" s="22">
        <v>0</v>
      </c>
      <c r="AA60" s="22">
        <v>0</v>
      </c>
      <c r="AB60" s="22">
        <v>0</v>
      </c>
      <c r="AC60" s="22">
        <v>0</v>
      </c>
      <c r="AD60" s="22">
        <v>0</v>
      </c>
      <c r="AE60" s="22">
        <v>680.93</v>
      </c>
      <c r="AF60" s="22">
        <f t="shared" si="0"/>
        <v>680.93</v>
      </c>
      <c r="AG60" s="22">
        <v>0</v>
      </c>
      <c r="AH60" s="22">
        <v>680.93</v>
      </c>
      <c r="AI60" t="s">
        <v>562</v>
      </c>
      <c r="AJ60" t="s">
        <v>563</v>
      </c>
    </row>
    <row r="61" spans="1:36" ht="43.5" outlineLevel="2" x14ac:dyDescent="0.35">
      <c r="A61" s="19" t="s">
        <v>551</v>
      </c>
      <c r="B61" s="19" t="s">
        <v>821</v>
      </c>
      <c r="C61" s="19" t="s">
        <v>749</v>
      </c>
      <c r="D61" s="19">
        <v>2021</v>
      </c>
      <c r="E61" s="19" t="s">
        <v>554</v>
      </c>
      <c r="F61" s="19">
        <v>80091533</v>
      </c>
      <c r="G61" s="19" t="s">
        <v>822</v>
      </c>
      <c r="H61" s="19" t="s">
        <v>823</v>
      </c>
      <c r="I61" s="19" t="s">
        <v>31</v>
      </c>
      <c r="J61" s="20">
        <v>1</v>
      </c>
      <c r="K61" s="21">
        <v>44398</v>
      </c>
      <c r="L61" s="21">
        <v>44404</v>
      </c>
      <c r="M61" s="21">
        <v>44840</v>
      </c>
      <c r="N61" s="24" t="s">
        <v>2448</v>
      </c>
      <c r="O61" s="19" t="s">
        <v>557</v>
      </c>
      <c r="P61" s="19" t="s">
        <v>665</v>
      </c>
      <c r="Q61" s="19" t="s">
        <v>569</v>
      </c>
      <c r="R61" s="19" t="s">
        <v>570</v>
      </c>
      <c r="S61" s="19" t="s">
        <v>824</v>
      </c>
      <c r="T61" t="s">
        <v>121</v>
      </c>
      <c r="U61" s="22">
        <v>1491.11</v>
      </c>
      <c r="V61" s="22">
        <v>0</v>
      </c>
      <c r="W61" s="22">
        <v>2193.3000000000002</v>
      </c>
      <c r="X61" s="22">
        <v>0</v>
      </c>
      <c r="Y61" s="22">
        <v>245.06</v>
      </c>
      <c r="Z61" s="22">
        <v>0</v>
      </c>
      <c r="AA61" s="22">
        <v>0</v>
      </c>
      <c r="AB61" s="22">
        <v>0</v>
      </c>
      <c r="AC61" s="22">
        <v>0</v>
      </c>
      <c r="AD61" s="22">
        <v>0</v>
      </c>
      <c r="AE61" s="22">
        <v>3929.47</v>
      </c>
      <c r="AF61" s="22">
        <f t="shared" si="0"/>
        <v>3929.47</v>
      </c>
      <c r="AG61" s="22">
        <v>0</v>
      </c>
      <c r="AH61" s="22">
        <v>3929.47</v>
      </c>
      <c r="AI61" t="s">
        <v>562</v>
      </c>
      <c r="AJ61" t="s">
        <v>563</v>
      </c>
    </row>
    <row r="62" spans="1:36" ht="43.5" outlineLevel="2" x14ac:dyDescent="0.35">
      <c r="A62" s="19" t="s">
        <v>551</v>
      </c>
      <c r="B62" s="19" t="s">
        <v>580</v>
      </c>
      <c r="C62" s="19" t="s">
        <v>581</v>
      </c>
      <c r="D62" s="19">
        <v>2021</v>
      </c>
      <c r="E62" s="19" t="s">
        <v>554</v>
      </c>
      <c r="F62" s="19">
        <v>80082325</v>
      </c>
      <c r="G62" s="19" t="s">
        <v>825</v>
      </c>
      <c r="H62" s="19" t="s">
        <v>826</v>
      </c>
      <c r="I62" s="19" t="s">
        <v>687</v>
      </c>
      <c r="J62" s="20">
        <v>1</v>
      </c>
      <c r="K62" s="21">
        <v>44397</v>
      </c>
      <c r="L62" s="21">
        <v>44414</v>
      </c>
      <c r="N62" s="24" t="s">
        <v>2448</v>
      </c>
      <c r="O62" s="19" t="s">
        <v>557</v>
      </c>
      <c r="P62" s="19" t="s">
        <v>568</v>
      </c>
      <c r="Q62" s="19" t="s">
        <v>569</v>
      </c>
      <c r="R62" s="19" t="s">
        <v>591</v>
      </c>
      <c r="S62" s="19" t="s">
        <v>827</v>
      </c>
      <c r="T62" t="s">
        <v>51</v>
      </c>
      <c r="U62" s="22">
        <v>39344.480000000003</v>
      </c>
      <c r="V62" s="22">
        <v>2486.52</v>
      </c>
      <c r="W62" s="22">
        <v>104462.55</v>
      </c>
      <c r="X62" s="22">
        <v>21381.57</v>
      </c>
      <c r="Y62" s="22">
        <v>44943.48</v>
      </c>
      <c r="Z62" s="22">
        <v>7170.79</v>
      </c>
      <c r="AA62" s="22">
        <v>-214.95</v>
      </c>
      <c r="AB62" s="22">
        <v>-2852.44</v>
      </c>
      <c r="AC62" s="22">
        <v>0</v>
      </c>
      <c r="AD62" s="22">
        <v>-17</v>
      </c>
      <c r="AE62" s="22">
        <v>188750.51</v>
      </c>
      <c r="AF62" s="22">
        <f t="shared" si="0"/>
        <v>185683.12</v>
      </c>
      <c r="AG62" s="22">
        <v>31038.880000000001</v>
      </c>
      <c r="AH62" s="22">
        <v>216722</v>
      </c>
      <c r="AI62" t="s">
        <v>562</v>
      </c>
      <c r="AJ62" t="s">
        <v>563</v>
      </c>
    </row>
    <row r="63" spans="1:36" ht="43.5" outlineLevel="2" x14ac:dyDescent="0.35">
      <c r="A63" s="19" t="s">
        <v>551</v>
      </c>
      <c r="B63" s="19" t="s">
        <v>580</v>
      </c>
      <c r="C63" s="19" t="s">
        <v>581</v>
      </c>
      <c r="D63" s="19">
        <v>2021</v>
      </c>
      <c r="E63" s="19" t="s">
        <v>554</v>
      </c>
      <c r="F63" s="19">
        <v>80082486</v>
      </c>
      <c r="G63" s="19" t="s">
        <v>828</v>
      </c>
      <c r="H63" s="19" t="s">
        <v>829</v>
      </c>
      <c r="I63" s="19" t="s">
        <v>31</v>
      </c>
      <c r="J63" s="20">
        <v>1</v>
      </c>
      <c r="K63" s="21">
        <v>44397</v>
      </c>
      <c r="L63" s="21">
        <v>44397</v>
      </c>
      <c r="M63" s="21">
        <v>45504</v>
      </c>
      <c r="N63" s="24" t="s">
        <v>2448</v>
      </c>
      <c r="O63" s="19" t="s">
        <v>557</v>
      </c>
      <c r="P63" s="19" t="s">
        <v>558</v>
      </c>
      <c r="Q63" s="19" t="s">
        <v>584</v>
      </c>
      <c r="R63" s="19" t="s">
        <v>689</v>
      </c>
      <c r="S63" s="19" t="s">
        <v>830</v>
      </c>
      <c r="T63" t="s">
        <v>51</v>
      </c>
      <c r="U63" s="22">
        <v>0</v>
      </c>
      <c r="V63" s="22">
        <v>0</v>
      </c>
      <c r="W63" s="22">
        <v>1026.29</v>
      </c>
      <c r="X63" s="22">
        <v>0</v>
      </c>
      <c r="Y63" s="22">
        <v>1200.46</v>
      </c>
      <c r="Z63" s="22">
        <v>0</v>
      </c>
      <c r="AA63" s="22">
        <v>0</v>
      </c>
      <c r="AB63" s="22">
        <v>0</v>
      </c>
      <c r="AC63" s="22">
        <v>0</v>
      </c>
      <c r="AD63" s="22">
        <v>0</v>
      </c>
      <c r="AE63" s="22">
        <v>2226.75</v>
      </c>
      <c r="AF63" s="22">
        <f t="shared" si="0"/>
        <v>2226.75</v>
      </c>
      <c r="AG63" s="22">
        <v>0</v>
      </c>
      <c r="AH63" s="22">
        <v>2226.75</v>
      </c>
      <c r="AI63" t="s">
        <v>562</v>
      </c>
      <c r="AJ63" t="s">
        <v>563</v>
      </c>
    </row>
    <row r="64" spans="1:36" ht="72.5" outlineLevel="2" x14ac:dyDescent="0.35">
      <c r="A64" s="19" t="s">
        <v>551</v>
      </c>
      <c r="B64" s="19" t="s">
        <v>636</v>
      </c>
      <c r="C64" s="19" t="s">
        <v>594</v>
      </c>
      <c r="D64" s="19">
        <v>2021</v>
      </c>
      <c r="E64" s="19" t="s">
        <v>554</v>
      </c>
      <c r="F64" s="19">
        <v>80091508</v>
      </c>
      <c r="G64" s="19" t="s">
        <v>831</v>
      </c>
      <c r="H64" s="19" t="s">
        <v>832</v>
      </c>
      <c r="I64" s="19" t="s">
        <v>31</v>
      </c>
      <c r="J64" s="20">
        <v>1</v>
      </c>
      <c r="K64" s="21">
        <v>44379</v>
      </c>
      <c r="L64" s="21">
        <v>44384</v>
      </c>
      <c r="M64" s="21">
        <v>44418</v>
      </c>
      <c r="N64" s="24" t="s">
        <v>2448</v>
      </c>
      <c r="O64" s="19" t="s">
        <v>557</v>
      </c>
      <c r="P64" s="19" t="s">
        <v>568</v>
      </c>
      <c r="Q64" s="19" t="s">
        <v>625</v>
      </c>
      <c r="R64" s="19" t="s">
        <v>578</v>
      </c>
      <c r="S64" s="19" t="s">
        <v>833</v>
      </c>
      <c r="T64" t="s">
        <v>223</v>
      </c>
      <c r="U64" s="22">
        <v>0</v>
      </c>
      <c r="V64" s="22">
        <v>0</v>
      </c>
      <c r="W64" s="22">
        <v>178.08</v>
      </c>
      <c r="X64" s="22">
        <v>0</v>
      </c>
      <c r="Y64" s="22">
        <v>21.19</v>
      </c>
      <c r="Z64" s="22">
        <v>0</v>
      </c>
      <c r="AA64" s="22">
        <v>0</v>
      </c>
      <c r="AB64" s="22">
        <v>0</v>
      </c>
      <c r="AC64" s="22">
        <v>0</v>
      </c>
      <c r="AD64" s="22">
        <v>0</v>
      </c>
      <c r="AE64" s="22">
        <v>199.27</v>
      </c>
      <c r="AF64" s="22">
        <f t="shared" si="0"/>
        <v>199.27</v>
      </c>
      <c r="AG64" s="22">
        <v>0</v>
      </c>
      <c r="AH64" s="22">
        <v>199.27</v>
      </c>
      <c r="AI64" t="s">
        <v>562</v>
      </c>
      <c r="AJ64" t="s">
        <v>563</v>
      </c>
    </row>
    <row r="65" spans="1:36" ht="29" outlineLevel="2" x14ac:dyDescent="0.35">
      <c r="A65" s="19" t="s">
        <v>551</v>
      </c>
      <c r="D65" s="19">
        <v>2021</v>
      </c>
      <c r="E65" s="19" t="s">
        <v>834</v>
      </c>
      <c r="F65" s="19" t="s">
        <v>835</v>
      </c>
      <c r="K65" s="21"/>
      <c r="L65" s="21"/>
      <c r="N65" s="24" t="s">
        <v>2448</v>
      </c>
      <c r="U65" s="22">
        <v>0</v>
      </c>
      <c r="V65" s="22">
        <v>0</v>
      </c>
      <c r="W65" s="22">
        <v>0</v>
      </c>
      <c r="X65" s="22">
        <v>0</v>
      </c>
      <c r="Y65" s="22">
        <v>0</v>
      </c>
      <c r="Z65" s="22">
        <v>0</v>
      </c>
      <c r="AA65" s="22">
        <v>0</v>
      </c>
      <c r="AB65" s="22">
        <v>0</v>
      </c>
      <c r="AC65" s="22">
        <v>0</v>
      </c>
      <c r="AD65" s="22">
        <v>0</v>
      </c>
      <c r="AE65" s="22">
        <v>0</v>
      </c>
      <c r="AF65" s="22">
        <f t="shared" si="0"/>
        <v>0</v>
      </c>
      <c r="AG65" s="22">
        <v>0</v>
      </c>
      <c r="AH65" s="22">
        <v>0</v>
      </c>
      <c r="AI65" t="s">
        <v>562</v>
      </c>
      <c r="AJ65" t="s">
        <v>563</v>
      </c>
    </row>
    <row r="66" spans="1:36" ht="58" outlineLevel="2" x14ac:dyDescent="0.35">
      <c r="A66" s="19" t="s">
        <v>551</v>
      </c>
      <c r="B66" s="19" t="s">
        <v>658</v>
      </c>
      <c r="C66" s="19" t="s">
        <v>643</v>
      </c>
      <c r="D66" s="19">
        <v>2020</v>
      </c>
      <c r="E66" s="19" t="s">
        <v>554</v>
      </c>
      <c r="F66" s="19">
        <v>80091495</v>
      </c>
      <c r="G66" s="19" t="s">
        <v>836</v>
      </c>
      <c r="H66" s="19" t="s">
        <v>837</v>
      </c>
      <c r="I66" s="19" t="s">
        <v>31</v>
      </c>
      <c r="J66" s="20">
        <v>1</v>
      </c>
      <c r="K66" s="21">
        <v>44376</v>
      </c>
      <c r="L66" s="21">
        <v>44377</v>
      </c>
      <c r="M66" s="21">
        <v>44449</v>
      </c>
      <c r="N66" s="24" t="s">
        <v>2448</v>
      </c>
      <c r="O66" s="19" t="s">
        <v>557</v>
      </c>
      <c r="P66" s="19" t="s">
        <v>665</v>
      </c>
      <c r="Q66" s="19" t="s">
        <v>569</v>
      </c>
      <c r="R66" s="19" t="s">
        <v>591</v>
      </c>
      <c r="S66" s="19" t="s">
        <v>838</v>
      </c>
      <c r="T66" t="s">
        <v>62</v>
      </c>
      <c r="U66" s="22">
        <v>7819.3</v>
      </c>
      <c r="V66" s="22">
        <v>0</v>
      </c>
      <c r="W66" s="22">
        <v>0</v>
      </c>
      <c r="X66" s="22">
        <v>0</v>
      </c>
      <c r="Y66" s="22">
        <v>909.5</v>
      </c>
      <c r="Z66" s="22">
        <v>0</v>
      </c>
      <c r="AA66" s="22">
        <v>0</v>
      </c>
      <c r="AB66" s="22">
        <v>0</v>
      </c>
      <c r="AC66" s="22">
        <v>0</v>
      </c>
      <c r="AD66" s="22">
        <v>0</v>
      </c>
      <c r="AE66" s="22">
        <v>8728.7999999999993</v>
      </c>
      <c r="AF66" s="22">
        <f t="shared" si="0"/>
        <v>8728.7999999999993</v>
      </c>
      <c r="AG66" s="22">
        <v>0</v>
      </c>
      <c r="AH66" s="22">
        <v>8728.7999999999993</v>
      </c>
      <c r="AI66" t="s">
        <v>562</v>
      </c>
      <c r="AJ66" t="s">
        <v>563</v>
      </c>
    </row>
    <row r="67" spans="1:36" ht="58" outlineLevel="2" x14ac:dyDescent="0.35">
      <c r="A67" s="19" t="s">
        <v>551</v>
      </c>
      <c r="B67" s="19" t="s">
        <v>794</v>
      </c>
      <c r="C67" s="19" t="s">
        <v>749</v>
      </c>
      <c r="D67" s="19">
        <v>2020</v>
      </c>
      <c r="E67" s="19" t="s">
        <v>554</v>
      </c>
      <c r="F67" s="19">
        <v>80091520</v>
      </c>
      <c r="G67" s="19" t="s">
        <v>839</v>
      </c>
      <c r="H67" s="19" t="s">
        <v>840</v>
      </c>
      <c r="I67" s="19" t="s">
        <v>31</v>
      </c>
      <c r="J67" s="20">
        <v>1</v>
      </c>
      <c r="K67" s="21">
        <v>44371</v>
      </c>
      <c r="L67" s="21">
        <v>44386</v>
      </c>
      <c r="M67" s="21">
        <v>44425</v>
      </c>
      <c r="N67" s="24" t="s">
        <v>2448</v>
      </c>
      <c r="O67" s="19" t="s">
        <v>557</v>
      </c>
      <c r="P67" s="19" t="s">
        <v>609</v>
      </c>
      <c r="Q67" s="19" t="s">
        <v>634</v>
      </c>
      <c r="R67" s="19" t="s">
        <v>616</v>
      </c>
      <c r="S67" s="19" t="s">
        <v>841</v>
      </c>
      <c r="T67" t="s">
        <v>212</v>
      </c>
      <c r="U67" s="22">
        <v>0</v>
      </c>
      <c r="V67" s="22">
        <v>0</v>
      </c>
      <c r="W67" s="22">
        <v>592.98</v>
      </c>
      <c r="X67" s="22">
        <v>0</v>
      </c>
      <c r="Y67" s="22">
        <v>62.1</v>
      </c>
      <c r="Z67" s="22">
        <v>0</v>
      </c>
      <c r="AA67" s="22">
        <v>0</v>
      </c>
      <c r="AB67" s="22">
        <v>0</v>
      </c>
      <c r="AC67" s="22">
        <v>0</v>
      </c>
      <c r="AD67" s="22">
        <v>0</v>
      </c>
      <c r="AE67" s="22">
        <v>655.08000000000004</v>
      </c>
      <c r="AF67" s="22">
        <f t="shared" ref="AF67:AF130" si="1">AE67+AA67+AB67+AC67</f>
        <v>655.08000000000004</v>
      </c>
      <c r="AG67" s="22">
        <v>0</v>
      </c>
      <c r="AH67" s="22">
        <v>655.08000000000004</v>
      </c>
      <c r="AI67" t="s">
        <v>562</v>
      </c>
      <c r="AJ67" t="s">
        <v>563</v>
      </c>
    </row>
    <row r="68" spans="1:36" ht="43.5" outlineLevel="2" x14ac:dyDescent="0.35">
      <c r="A68" s="19" t="s">
        <v>551</v>
      </c>
      <c r="B68" s="19" t="s">
        <v>722</v>
      </c>
      <c r="C68" s="19" t="s">
        <v>723</v>
      </c>
      <c r="D68" s="19">
        <v>2020</v>
      </c>
      <c r="E68" s="19" t="s">
        <v>554</v>
      </c>
      <c r="F68" s="19">
        <v>80091598</v>
      </c>
      <c r="G68" s="19" t="s">
        <v>842</v>
      </c>
      <c r="H68" s="19" t="s">
        <v>843</v>
      </c>
      <c r="I68" s="19" t="s">
        <v>31</v>
      </c>
      <c r="J68" s="20">
        <v>1</v>
      </c>
      <c r="K68" s="21">
        <v>44369</v>
      </c>
      <c r="L68" s="21">
        <v>44376</v>
      </c>
      <c r="M68" s="21">
        <v>44455</v>
      </c>
      <c r="N68" s="24" t="s">
        <v>2448</v>
      </c>
      <c r="O68" s="19" t="s">
        <v>557</v>
      </c>
      <c r="P68" s="19" t="s">
        <v>665</v>
      </c>
      <c r="Q68" s="19" t="s">
        <v>590</v>
      </c>
      <c r="R68" s="19" t="s">
        <v>616</v>
      </c>
      <c r="S68" s="19" t="s">
        <v>844</v>
      </c>
      <c r="T68" t="s">
        <v>51</v>
      </c>
      <c r="U68" s="22">
        <v>0</v>
      </c>
      <c r="V68" s="22">
        <v>0</v>
      </c>
      <c r="W68" s="22">
        <v>252.55</v>
      </c>
      <c r="X68" s="22">
        <v>0</v>
      </c>
      <c r="Y68" s="22">
        <v>43.79</v>
      </c>
      <c r="Z68" s="22">
        <v>0</v>
      </c>
      <c r="AA68" s="22">
        <v>0</v>
      </c>
      <c r="AB68" s="22">
        <v>0</v>
      </c>
      <c r="AC68" s="22">
        <v>0</v>
      </c>
      <c r="AD68" s="22">
        <v>0</v>
      </c>
      <c r="AE68" s="22">
        <v>296.33999999999997</v>
      </c>
      <c r="AF68" s="22">
        <f t="shared" si="1"/>
        <v>296.33999999999997</v>
      </c>
      <c r="AG68" s="22">
        <v>0</v>
      </c>
      <c r="AH68" s="22">
        <v>296.33999999999997</v>
      </c>
      <c r="AI68" t="s">
        <v>562</v>
      </c>
      <c r="AJ68" t="s">
        <v>563</v>
      </c>
    </row>
    <row r="69" spans="1:36" ht="43.5" outlineLevel="2" x14ac:dyDescent="0.35">
      <c r="A69" s="19" t="s">
        <v>551</v>
      </c>
      <c r="B69" s="19" t="s">
        <v>572</v>
      </c>
      <c r="C69" s="19" t="s">
        <v>573</v>
      </c>
      <c r="D69" s="19">
        <v>2020</v>
      </c>
      <c r="E69" s="19" t="s">
        <v>554</v>
      </c>
      <c r="F69" s="19">
        <v>80082550</v>
      </c>
      <c r="G69" s="19" t="s">
        <v>845</v>
      </c>
      <c r="H69" s="19" t="s">
        <v>846</v>
      </c>
      <c r="I69" s="19" t="s">
        <v>31</v>
      </c>
      <c r="J69" s="20">
        <v>1</v>
      </c>
      <c r="K69" s="21">
        <v>44365</v>
      </c>
      <c r="L69" s="21">
        <v>44434</v>
      </c>
      <c r="M69" s="21">
        <v>45512</v>
      </c>
      <c r="N69" s="24" t="s">
        <v>2448</v>
      </c>
      <c r="O69" s="19" t="s">
        <v>557</v>
      </c>
      <c r="P69" s="19" t="s">
        <v>568</v>
      </c>
      <c r="Q69" s="19" t="s">
        <v>782</v>
      </c>
      <c r="R69" s="19" t="s">
        <v>591</v>
      </c>
      <c r="S69" s="19" t="s">
        <v>847</v>
      </c>
      <c r="T69" t="s">
        <v>139</v>
      </c>
      <c r="U69" s="22">
        <v>0</v>
      </c>
      <c r="V69" s="22">
        <v>0</v>
      </c>
      <c r="W69" s="22">
        <v>2602.7199999999998</v>
      </c>
      <c r="X69" s="22">
        <v>0</v>
      </c>
      <c r="Y69" s="22">
        <v>6050.34</v>
      </c>
      <c r="Z69" s="22">
        <v>0</v>
      </c>
      <c r="AA69" s="22">
        <v>0</v>
      </c>
      <c r="AB69" s="22">
        <v>0</v>
      </c>
      <c r="AC69" s="22">
        <v>0</v>
      </c>
      <c r="AD69" s="22">
        <v>0</v>
      </c>
      <c r="AE69" s="22">
        <v>8653.06</v>
      </c>
      <c r="AF69" s="22">
        <f t="shared" si="1"/>
        <v>8653.06</v>
      </c>
      <c r="AG69" s="22">
        <v>0</v>
      </c>
      <c r="AH69" s="22">
        <v>8653.06</v>
      </c>
      <c r="AI69" t="s">
        <v>562</v>
      </c>
      <c r="AJ69" t="s">
        <v>563</v>
      </c>
    </row>
    <row r="70" spans="1:36" ht="43.5" outlineLevel="2" x14ac:dyDescent="0.35">
      <c r="A70" s="19" t="s">
        <v>551</v>
      </c>
      <c r="B70" s="19" t="s">
        <v>580</v>
      </c>
      <c r="C70" s="19" t="s">
        <v>581</v>
      </c>
      <c r="D70" s="19">
        <v>2020</v>
      </c>
      <c r="E70" s="19" t="s">
        <v>554</v>
      </c>
      <c r="F70" s="19">
        <v>80091591</v>
      </c>
      <c r="G70" s="19" t="s">
        <v>848</v>
      </c>
      <c r="H70" s="19" t="s">
        <v>849</v>
      </c>
      <c r="I70" s="19" t="s">
        <v>31</v>
      </c>
      <c r="J70" s="20">
        <v>1</v>
      </c>
      <c r="K70" s="21">
        <v>44364</v>
      </c>
      <c r="L70" s="21">
        <v>44376</v>
      </c>
      <c r="M70" s="21">
        <v>44385</v>
      </c>
      <c r="N70" s="24" t="s">
        <v>2448</v>
      </c>
      <c r="O70" s="19" t="s">
        <v>557</v>
      </c>
      <c r="P70" s="19" t="s">
        <v>568</v>
      </c>
      <c r="Q70" s="19" t="s">
        <v>655</v>
      </c>
      <c r="R70" s="19" t="s">
        <v>578</v>
      </c>
      <c r="S70" s="19" t="s">
        <v>850</v>
      </c>
      <c r="T70" t="s">
        <v>51</v>
      </c>
      <c r="U70" s="22">
        <v>0</v>
      </c>
      <c r="V70" s="22">
        <v>0</v>
      </c>
      <c r="W70" s="22">
        <v>342.85</v>
      </c>
      <c r="X70" s="22">
        <v>0</v>
      </c>
      <c r="Y70" s="22">
        <v>43.2</v>
      </c>
      <c r="Z70" s="22">
        <v>0</v>
      </c>
      <c r="AA70" s="22">
        <v>0</v>
      </c>
      <c r="AB70" s="22">
        <v>0</v>
      </c>
      <c r="AC70" s="22">
        <v>0</v>
      </c>
      <c r="AD70" s="22">
        <v>0</v>
      </c>
      <c r="AE70" s="22">
        <v>386.05</v>
      </c>
      <c r="AF70" s="22">
        <f t="shared" si="1"/>
        <v>386.05</v>
      </c>
      <c r="AG70" s="22">
        <v>0</v>
      </c>
      <c r="AH70" s="22">
        <v>386.05</v>
      </c>
      <c r="AI70" t="s">
        <v>562</v>
      </c>
      <c r="AJ70" t="s">
        <v>563</v>
      </c>
    </row>
    <row r="71" spans="1:36" ht="58" outlineLevel="2" x14ac:dyDescent="0.35">
      <c r="A71" s="19" t="s">
        <v>551</v>
      </c>
      <c r="B71" s="19" t="s">
        <v>627</v>
      </c>
      <c r="C71" s="19" t="s">
        <v>628</v>
      </c>
      <c r="D71" s="19">
        <v>2020</v>
      </c>
      <c r="E71" s="19" t="s">
        <v>554</v>
      </c>
      <c r="F71" s="19">
        <v>80091494</v>
      </c>
      <c r="G71" s="19" t="s">
        <v>851</v>
      </c>
      <c r="H71" s="19" t="s">
        <v>852</v>
      </c>
      <c r="I71" s="19" t="s">
        <v>31</v>
      </c>
      <c r="J71" s="20">
        <v>1</v>
      </c>
      <c r="K71" s="21">
        <v>44363</v>
      </c>
      <c r="L71" s="21">
        <v>44365</v>
      </c>
      <c r="M71" s="21">
        <v>44483</v>
      </c>
      <c r="N71" s="24" t="s">
        <v>2448</v>
      </c>
      <c r="O71" s="19" t="s">
        <v>557</v>
      </c>
      <c r="P71" s="19" t="s">
        <v>568</v>
      </c>
      <c r="Q71" s="19" t="s">
        <v>683</v>
      </c>
      <c r="R71" s="19" t="s">
        <v>570</v>
      </c>
      <c r="S71" s="19" t="s">
        <v>853</v>
      </c>
      <c r="T71" t="s">
        <v>69</v>
      </c>
      <c r="U71" s="22">
        <v>0</v>
      </c>
      <c r="V71" s="22">
        <v>0</v>
      </c>
      <c r="W71" s="22">
        <v>2065.0300000000002</v>
      </c>
      <c r="X71" s="22">
        <v>0</v>
      </c>
      <c r="Y71" s="22">
        <v>413.69</v>
      </c>
      <c r="Z71" s="22">
        <v>0</v>
      </c>
      <c r="AA71" s="22">
        <v>0</v>
      </c>
      <c r="AB71" s="22">
        <v>-244.69</v>
      </c>
      <c r="AC71" s="22">
        <v>0</v>
      </c>
      <c r="AD71" s="22">
        <v>0</v>
      </c>
      <c r="AE71" s="22">
        <v>2478.7199999999998</v>
      </c>
      <c r="AF71" s="22">
        <f t="shared" si="1"/>
        <v>2234.0299999999997</v>
      </c>
      <c r="AG71" s="22">
        <v>0</v>
      </c>
      <c r="AH71" s="22">
        <v>2234.0300000000002</v>
      </c>
      <c r="AI71" t="s">
        <v>562</v>
      </c>
      <c r="AJ71" t="s">
        <v>563</v>
      </c>
    </row>
    <row r="72" spans="1:36" ht="58" outlineLevel="2" x14ac:dyDescent="0.35">
      <c r="A72" s="19" t="s">
        <v>551</v>
      </c>
      <c r="B72" s="19" t="s">
        <v>572</v>
      </c>
      <c r="C72" s="19" t="s">
        <v>573</v>
      </c>
      <c r="D72" s="19">
        <v>2020</v>
      </c>
      <c r="E72" s="19" t="s">
        <v>554</v>
      </c>
      <c r="F72" s="19">
        <v>80091516</v>
      </c>
      <c r="G72" s="19" t="s">
        <v>854</v>
      </c>
      <c r="H72" s="19" t="s">
        <v>855</v>
      </c>
      <c r="I72" s="19" t="s">
        <v>31</v>
      </c>
      <c r="J72" s="20">
        <v>1</v>
      </c>
      <c r="K72" s="21">
        <v>44362</v>
      </c>
      <c r="L72" s="21">
        <v>44362</v>
      </c>
      <c r="M72" s="21">
        <v>45015</v>
      </c>
      <c r="N72" s="24" t="s">
        <v>2448</v>
      </c>
      <c r="O72" s="19" t="s">
        <v>557</v>
      </c>
      <c r="P72" s="19" t="s">
        <v>568</v>
      </c>
      <c r="Q72" s="19" t="s">
        <v>856</v>
      </c>
      <c r="R72" s="19" t="s">
        <v>591</v>
      </c>
      <c r="S72" s="19" t="s">
        <v>857</v>
      </c>
      <c r="T72" t="s">
        <v>139</v>
      </c>
      <c r="U72" s="22">
        <v>20748.88</v>
      </c>
      <c r="V72" s="22">
        <v>0</v>
      </c>
      <c r="W72" s="22">
        <v>18768.5</v>
      </c>
      <c r="X72" s="22">
        <v>0</v>
      </c>
      <c r="Y72" s="22">
        <v>6147.39</v>
      </c>
      <c r="Z72" s="22">
        <v>0</v>
      </c>
      <c r="AA72" s="22">
        <v>0</v>
      </c>
      <c r="AB72" s="22">
        <v>0</v>
      </c>
      <c r="AC72" s="22">
        <v>0</v>
      </c>
      <c r="AD72" s="22">
        <v>0</v>
      </c>
      <c r="AE72" s="22">
        <v>45664.77</v>
      </c>
      <c r="AF72" s="22">
        <f t="shared" si="1"/>
        <v>45664.77</v>
      </c>
      <c r="AG72" s="22">
        <v>0</v>
      </c>
      <c r="AH72" s="22">
        <v>45664.77</v>
      </c>
      <c r="AI72" t="s">
        <v>562</v>
      </c>
      <c r="AJ72" t="s">
        <v>563</v>
      </c>
    </row>
    <row r="73" spans="1:36" ht="43.5" outlineLevel="2" x14ac:dyDescent="0.35">
      <c r="A73" s="19" t="s">
        <v>551</v>
      </c>
      <c r="B73" s="19" t="s">
        <v>658</v>
      </c>
      <c r="C73" s="19" t="s">
        <v>643</v>
      </c>
      <c r="D73" s="19">
        <v>2020</v>
      </c>
      <c r="E73" s="19" t="s">
        <v>554</v>
      </c>
      <c r="F73" s="19">
        <v>80091523</v>
      </c>
      <c r="G73" s="19" t="s">
        <v>858</v>
      </c>
      <c r="H73" s="19" t="s">
        <v>859</v>
      </c>
      <c r="I73" s="19" t="s">
        <v>31</v>
      </c>
      <c r="J73" s="20">
        <v>1</v>
      </c>
      <c r="K73" s="21">
        <v>44360</v>
      </c>
      <c r="L73" s="21">
        <v>44453</v>
      </c>
      <c r="M73" s="21">
        <v>44477</v>
      </c>
      <c r="N73" s="24" t="s">
        <v>2448</v>
      </c>
      <c r="O73" s="19" t="s">
        <v>557</v>
      </c>
      <c r="P73" s="19" t="s">
        <v>665</v>
      </c>
      <c r="Q73" s="19" t="s">
        <v>860</v>
      </c>
      <c r="R73" s="19" t="s">
        <v>591</v>
      </c>
      <c r="S73" s="19" t="s">
        <v>861</v>
      </c>
      <c r="T73" t="s">
        <v>62</v>
      </c>
      <c r="U73" s="22">
        <v>0</v>
      </c>
      <c r="V73" s="22">
        <v>0</v>
      </c>
      <c r="W73" s="22">
        <v>0</v>
      </c>
      <c r="X73" s="22">
        <v>0</v>
      </c>
      <c r="Y73" s="22">
        <v>454.75</v>
      </c>
      <c r="Z73" s="22">
        <v>0</v>
      </c>
      <c r="AA73" s="22">
        <v>0</v>
      </c>
      <c r="AB73" s="22">
        <v>0</v>
      </c>
      <c r="AC73" s="22">
        <v>0</v>
      </c>
      <c r="AD73" s="22">
        <v>0</v>
      </c>
      <c r="AE73" s="22">
        <v>454.75</v>
      </c>
      <c r="AF73" s="22">
        <f t="shared" si="1"/>
        <v>454.75</v>
      </c>
      <c r="AG73" s="22">
        <v>0</v>
      </c>
      <c r="AH73" s="22">
        <v>454.75</v>
      </c>
      <c r="AI73" t="s">
        <v>562</v>
      </c>
      <c r="AJ73" t="s">
        <v>563</v>
      </c>
    </row>
    <row r="74" spans="1:36" ht="58" outlineLevel="2" x14ac:dyDescent="0.35">
      <c r="A74" s="19" t="s">
        <v>551</v>
      </c>
      <c r="B74" s="19" t="s">
        <v>798</v>
      </c>
      <c r="C74" s="19" t="s">
        <v>673</v>
      </c>
      <c r="D74" s="19">
        <v>2020</v>
      </c>
      <c r="E74" s="19" t="s">
        <v>554</v>
      </c>
      <c r="F74" s="19">
        <v>80091474</v>
      </c>
      <c r="G74" s="19" t="s">
        <v>862</v>
      </c>
      <c r="H74" s="19" t="s">
        <v>863</v>
      </c>
      <c r="I74" s="19" t="s">
        <v>31</v>
      </c>
      <c r="J74" s="20">
        <v>1</v>
      </c>
      <c r="K74" s="21">
        <v>44350</v>
      </c>
      <c r="L74" s="21">
        <v>44361</v>
      </c>
      <c r="M74" s="21">
        <v>44483</v>
      </c>
      <c r="N74" s="24" t="s">
        <v>2448</v>
      </c>
      <c r="O74" s="19" t="s">
        <v>557</v>
      </c>
      <c r="P74" s="19" t="s">
        <v>568</v>
      </c>
      <c r="Q74" s="19" t="s">
        <v>864</v>
      </c>
      <c r="R74" s="19" t="s">
        <v>570</v>
      </c>
      <c r="S74" s="19" t="s">
        <v>865</v>
      </c>
      <c r="T74" t="s">
        <v>51</v>
      </c>
      <c r="U74" s="22">
        <v>0</v>
      </c>
      <c r="V74" s="22">
        <v>0</v>
      </c>
      <c r="W74" s="22">
        <v>624.24</v>
      </c>
      <c r="X74" s="22">
        <v>0</v>
      </c>
      <c r="Y74" s="22">
        <v>326.18</v>
      </c>
      <c r="Z74" s="22">
        <v>0</v>
      </c>
      <c r="AA74" s="22">
        <v>0</v>
      </c>
      <c r="AB74" s="22">
        <v>-0.19</v>
      </c>
      <c r="AC74" s="22">
        <v>0</v>
      </c>
      <c r="AD74" s="22">
        <v>0</v>
      </c>
      <c r="AE74" s="22">
        <v>950.42</v>
      </c>
      <c r="AF74" s="22">
        <f t="shared" si="1"/>
        <v>950.2299999999999</v>
      </c>
      <c r="AG74" s="22">
        <v>0</v>
      </c>
      <c r="AH74" s="22">
        <v>950.23</v>
      </c>
      <c r="AI74" t="s">
        <v>562</v>
      </c>
      <c r="AJ74" t="s">
        <v>563</v>
      </c>
    </row>
    <row r="75" spans="1:36" ht="72.5" outlineLevel="2" x14ac:dyDescent="0.35">
      <c r="A75" s="19" t="s">
        <v>551</v>
      </c>
      <c r="B75" s="19" t="s">
        <v>636</v>
      </c>
      <c r="C75" s="19" t="s">
        <v>594</v>
      </c>
      <c r="D75" s="19">
        <v>2020</v>
      </c>
      <c r="E75" s="19" t="s">
        <v>554</v>
      </c>
      <c r="F75" s="19">
        <v>80089985</v>
      </c>
      <c r="G75" s="19" t="s">
        <v>866</v>
      </c>
      <c r="H75" s="19" t="s">
        <v>867</v>
      </c>
      <c r="I75" s="19" t="s">
        <v>31</v>
      </c>
      <c r="J75" s="20">
        <v>1</v>
      </c>
      <c r="K75" s="21">
        <v>44344</v>
      </c>
      <c r="L75" s="21">
        <v>44349</v>
      </c>
      <c r="M75" s="21">
        <v>44372</v>
      </c>
      <c r="N75" s="24" t="s">
        <v>2448</v>
      </c>
      <c r="O75" s="19" t="s">
        <v>557</v>
      </c>
      <c r="P75" s="19" t="s">
        <v>568</v>
      </c>
      <c r="Q75" s="19" t="s">
        <v>655</v>
      </c>
      <c r="R75" s="19" t="s">
        <v>578</v>
      </c>
      <c r="S75" s="19" t="s">
        <v>868</v>
      </c>
      <c r="T75" t="s">
        <v>223</v>
      </c>
      <c r="U75" s="22">
        <v>0</v>
      </c>
      <c r="V75" s="22">
        <v>0</v>
      </c>
      <c r="W75" s="22">
        <v>327.24</v>
      </c>
      <c r="X75" s="22">
        <v>0</v>
      </c>
      <c r="Y75" s="22">
        <v>37.700000000000003</v>
      </c>
      <c r="Z75" s="22">
        <v>0</v>
      </c>
      <c r="AA75" s="22">
        <v>0</v>
      </c>
      <c r="AB75" s="22">
        <v>0</v>
      </c>
      <c r="AC75" s="22">
        <v>0</v>
      </c>
      <c r="AD75" s="22">
        <v>0</v>
      </c>
      <c r="AE75" s="22">
        <v>364.94</v>
      </c>
      <c r="AF75" s="22">
        <f t="shared" si="1"/>
        <v>364.94</v>
      </c>
      <c r="AG75" s="22">
        <v>0</v>
      </c>
      <c r="AH75" s="22">
        <v>364.94</v>
      </c>
      <c r="AI75" t="s">
        <v>562</v>
      </c>
      <c r="AJ75" t="s">
        <v>563</v>
      </c>
    </row>
    <row r="76" spans="1:36" ht="43.5" outlineLevel="2" x14ac:dyDescent="0.35">
      <c r="A76" s="19" t="s">
        <v>551</v>
      </c>
      <c r="B76" s="19" t="s">
        <v>580</v>
      </c>
      <c r="C76" s="19" t="s">
        <v>581</v>
      </c>
      <c r="D76" s="19">
        <v>2020</v>
      </c>
      <c r="E76" s="19" t="s">
        <v>554</v>
      </c>
      <c r="F76" s="19">
        <v>80089977</v>
      </c>
      <c r="G76" s="19" t="s">
        <v>869</v>
      </c>
      <c r="H76" s="19" t="s">
        <v>870</v>
      </c>
      <c r="I76" s="19" t="s">
        <v>31</v>
      </c>
      <c r="J76" s="20">
        <v>1</v>
      </c>
      <c r="K76" s="21">
        <v>44336</v>
      </c>
      <c r="L76" s="21">
        <v>44341</v>
      </c>
      <c r="M76" s="21">
        <v>44370</v>
      </c>
      <c r="N76" s="24" t="s">
        <v>2448</v>
      </c>
      <c r="O76" s="19" t="s">
        <v>557</v>
      </c>
      <c r="P76" s="19" t="s">
        <v>609</v>
      </c>
      <c r="Q76" s="19" t="s">
        <v>871</v>
      </c>
      <c r="R76" s="19" t="s">
        <v>570</v>
      </c>
      <c r="S76" s="19" t="s">
        <v>872</v>
      </c>
      <c r="T76" t="s">
        <v>51</v>
      </c>
      <c r="U76" s="22">
        <v>0</v>
      </c>
      <c r="V76" s="22">
        <v>0</v>
      </c>
      <c r="W76" s="22">
        <v>805.46</v>
      </c>
      <c r="X76" s="22">
        <v>0</v>
      </c>
      <c r="Y76" s="22">
        <v>68.349999999999994</v>
      </c>
      <c r="Z76" s="22">
        <v>0</v>
      </c>
      <c r="AA76" s="22">
        <v>0</v>
      </c>
      <c r="AB76" s="22">
        <v>0</v>
      </c>
      <c r="AC76" s="22">
        <v>0</v>
      </c>
      <c r="AD76" s="22">
        <v>0</v>
      </c>
      <c r="AE76" s="22">
        <v>873.81</v>
      </c>
      <c r="AF76" s="22">
        <f t="shared" si="1"/>
        <v>873.81</v>
      </c>
      <c r="AG76" s="22">
        <v>0</v>
      </c>
      <c r="AH76" s="22">
        <v>873.81</v>
      </c>
      <c r="AI76" t="s">
        <v>562</v>
      </c>
      <c r="AJ76" t="s">
        <v>563</v>
      </c>
    </row>
    <row r="77" spans="1:36" ht="43.5" outlineLevel="2" x14ac:dyDescent="0.35">
      <c r="A77" s="19" t="s">
        <v>551</v>
      </c>
      <c r="B77" s="19" t="s">
        <v>636</v>
      </c>
      <c r="C77" s="19" t="s">
        <v>594</v>
      </c>
      <c r="D77" s="19">
        <v>2020</v>
      </c>
      <c r="E77" s="19" t="s">
        <v>554</v>
      </c>
      <c r="F77" s="19">
        <v>80090007</v>
      </c>
      <c r="G77" s="19" t="s">
        <v>873</v>
      </c>
      <c r="H77" s="19" t="s">
        <v>874</v>
      </c>
      <c r="I77" s="19" t="s">
        <v>31</v>
      </c>
      <c r="J77" s="20">
        <v>1</v>
      </c>
      <c r="K77" s="21">
        <v>44334</v>
      </c>
      <c r="L77" s="21">
        <v>44335</v>
      </c>
      <c r="M77" s="21">
        <v>44337</v>
      </c>
      <c r="N77" s="24" t="s">
        <v>2448</v>
      </c>
      <c r="O77" s="19" t="s">
        <v>557</v>
      </c>
      <c r="P77" s="19" t="s">
        <v>568</v>
      </c>
      <c r="Q77" s="19" t="s">
        <v>569</v>
      </c>
      <c r="R77" s="19" t="s">
        <v>570</v>
      </c>
      <c r="S77" s="19" t="s">
        <v>875</v>
      </c>
      <c r="T77" t="s">
        <v>33</v>
      </c>
      <c r="U77" s="22">
        <v>0</v>
      </c>
      <c r="V77" s="22">
        <v>0</v>
      </c>
      <c r="W77" s="22">
        <v>132.55000000000001</v>
      </c>
      <c r="X77" s="22">
        <v>0</v>
      </c>
      <c r="Y77" s="22">
        <v>32.86</v>
      </c>
      <c r="Z77" s="22">
        <v>0</v>
      </c>
      <c r="AA77" s="22">
        <v>0</v>
      </c>
      <c r="AB77" s="22">
        <v>0</v>
      </c>
      <c r="AC77" s="22">
        <v>0</v>
      </c>
      <c r="AD77" s="22">
        <v>0</v>
      </c>
      <c r="AE77" s="22">
        <v>165.41</v>
      </c>
      <c r="AF77" s="22">
        <f t="shared" si="1"/>
        <v>165.41</v>
      </c>
      <c r="AG77" s="22">
        <v>0</v>
      </c>
      <c r="AH77" s="22">
        <v>165.41</v>
      </c>
      <c r="AI77" t="s">
        <v>562</v>
      </c>
      <c r="AJ77" t="s">
        <v>563</v>
      </c>
    </row>
    <row r="78" spans="1:36" ht="87" outlineLevel="2" x14ac:dyDescent="0.35">
      <c r="A78" s="19" t="s">
        <v>551</v>
      </c>
      <c r="B78" s="19" t="s">
        <v>697</v>
      </c>
      <c r="C78" s="19" t="s">
        <v>698</v>
      </c>
      <c r="D78" s="19">
        <v>2020</v>
      </c>
      <c r="E78" s="19" t="s">
        <v>554</v>
      </c>
      <c r="F78" s="19">
        <v>80090010</v>
      </c>
      <c r="G78" s="19" t="s">
        <v>876</v>
      </c>
      <c r="H78" s="19" t="s">
        <v>877</v>
      </c>
      <c r="I78" s="19" t="s">
        <v>31</v>
      </c>
      <c r="J78" s="20">
        <v>1</v>
      </c>
      <c r="K78" s="21">
        <v>44322</v>
      </c>
      <c r="L78" s="21">
        <v>44336</v>
      </c>
      <c r="M78" s="21">
        <v>44483</v>
      </c>
      <c r="N78" s="24" t="s">
        <v>2448</v>
      </c>
      <c r="O78" s="19" t="s">
        <v>557</v>
      </c>
      <c r="P78" s="19" t="s">
        <v>576</v>
      </c>
      <c r="Q78" s="19" t="s">
        <v>634</v>
      </c>
      <c r="R78" s="19" t="s">
        <v>715</v>
      </c>
      <c r="S78" s="19" t="s">
        <v>878</v>
      </c>
      <c r="T78" t="s">
        <v>69</v>
      </c>
      <c r="U78" s="22">
        <v>0</v>
      </c>
      <c r="V78" s="22">
        <v>0</v>
      </c>
      <c r="W78" s="22">
        <v>1395.6</v>
      </c>
      <c r="X78" s="22">
        <v>0</v>
      </c>
      <c r="Y78" s="22">
        <v>129.97</v>
      </c>
      <c r="Z78" s="22">
        <v>0</v>
      </c>
      <c r="AA78" s="22">
        <v>0</v>
      </c>
      <c r="AB78" s="22">
        <v>-42.82</v>
      </c>
      <c r="AC78" s="22">
        <v>0</v>
      </c>
      <c r="AD78" s="22">
        <v>0</v>
      </c>
      <c r="AE78" s="22">
        <v>1525.57</v>
      </c>
      <c r="AF78" s="22">
        <f t="shared" si="1"/>
        <v>1482.75</v>
      </c>
      <c r="AG78" s="22">
        <v>0</v>
      </c>
      <c r="AH78" s="22">
        <v>1482.75</v>
      </c>
      <c r="AI78" t="s">
        <v>562</v>
      </c>
      <c r="AJ78" t="s">
        <v>563</v>
      </c>
    </row>
    <row r="79" spans="1:36" ht="58" outlineLevel="2" x14ac:dyDescent="0.35">
      <c r="A79" s="19" t="s">
        <v>551</v>
      </c>
      <c r="B79" s="19" t="s">
        <v>636</v>
      </c>
      <c r="C79" s="19" t="s">
        <v>594</v>
      </c>
      <c r="D79" s="19">
        <v>2020</v>
      </c>
      <c r="E79" s="19" t="s">
        <v>554</v>
      </c>
      <c r="F79" s="19">
        <v>80090003</v>
      </c>
      <c r="G79" s="19" t="s">
        <v>879</v>
      </c>
      <c r="H79" s="19" t="s">
        <v>880</v>
      </c>
      <c r="I79" s="19" t="s">
        <v>31</v>
      </c>
      <c r="J79" s="20">
        <v>1</v>
      </c>
      <c r="K79" s="21">
        <v>44292</v>
      </c>
      <c r="L79" s="21">
        <v>44295</v>
      </c>
      <c r="M79" s="21">
        <v>44594</v>
      </c>
      <c r="N79" s="24" t="s">
        <v>2448</v>
      </c>
      <c r="O79" s="19" t="s">
        <v>557</v>
      </c>
      <c r="P79" s="19" t="s">
        <v>665</v>
      </c>
      <c r="Q79" s="19" t="s">
        <v>871</v>
      </c>
      <c r="R79" s="19" t="s">
        <v>616</v>
      </c>
      <c r="S79" s="19" t="s">
        <v>881</v>
      </c>
      <c r="T79" t="s">
        <v>223</v>
      </c>
      <c r="U79" s="22">
        <v>0</v>
      </c>
      <c r="V79" s="22">
        <v>0</v>
      </c>
      <c r="W79" s="22">
        <v>2104.21</v>
      </c>
      <c r="X79" s="22">
        <v>0</v>
      </c>
      <c r="Y79" s="22">
        <v>88.6</v>
      </c>
      <c r="Z79" s="22">
        <v>0</v>
      </c>
      <c r="AA79" s="22">
        <v>0</v>
      </c>
      <c r="AB79" s="22">
        <v>0</v>
      </c>
      <c r="AC79" s="22">
        <v>0</v>
      </c>
      <c r="AD79" s="22">
        <v>0</v>
      </c>
      <c r="AE79" s="22">
        <v>2192.81</v>
      </c>
      <c r="AF79" s="22">
        <f t="shared" si="1"/>
        <v>2192.81</v>
      </c>
      <c r="AG79" s="22">
        <v>0</v>
      </c>
      <c r="AH79" s="22">
        <v>2192.81</v>
      </c>
      <c r="AI79" t="s">
        <v>562</v>
      </c>
      <c r="AJ79" t="s">
        <v>563</v>
      </c>
    </row>
    <row r="80" spans="1:36" ht="116" outlineLevel="2" x14ac:dyDescent="0.35">
      <c r="A80" s="19" t="s">
        <v>551</v>
      </c>
      <c r="B80" s="19" t="s">
        <v>552</v>
      </c>
      <c r="C80" s="19" t="s">
        <v>553</v>
      </c>
      <c r="D80" s="19">
        <v>2020</v>
      </c>
      <c r="E80" s="19" t="s">
        <v>554</v>
      </c>
      <c r="F80" s="19">
        <v>80089982</v>
      </c>
      <c r="G80" s="19" t="s">
        <v>882</v>
      </c>
      <c r="H80" s="19" t="s">
        <v>883</v>
      </c>
      <c r="I80" s="19" t="s">
        <v>31</v>
      </c>
      <c r="J80" s="20">
        <v>1</v>
      </c>
      <c r="K80" s="21">
        <v>44283</v>
      </c>
      <c r="L80" s="21">
        <v>44293</v>
      </c>
      <c r="M80" s="21">
        <v>44826</v>
      </c>
      <c r="N80" s="24" t="s">
        <v>2448</v>
      </c>
      <c r="O80" s="19" t="s">
        <v>557</v>
      </c>
      <c r="P80" s="19" t="s">
        <v>568</v>
      </c>
      <c r="Q80" s="19" t="s">
        <v>661</v>
      </c>
      <c r="R80" s="19" t="s">
        <v>570</v>
      </c>
      <c r="S80" s="19" t="s">
        <v>884</v>
      </c>
      <c r="T80" t="s">
        <v>85</v>
      </c>
      <c r="U80" s="22">
        <v>0</v>
      </c>
      <c r="V80" s="22">
        <v>0</v>
      </c>
      <c r="W80" s="22">
        <v>1739.08</v>
      </c>
      <c r="X80" s="22">
        <v>0</v>
      </c>
      <c r="Y80" s="22">
        <v>166.67</v>
      </c>
      <c r="Z80" s="22">
        <v>0</v>
      </c>
      <c r="AA80" s="22">
        <v>0</v>
      </c>
      <c r="AB80" s="22">
        <v>0</v>
      </c>
      <c r="AC80" s="22">
        <v>0</v>
      </c>
      <c r="AD80" s="22">
        <v>0</v>
      </c>
      <c r="AE80" s="22">
        <v>1905.75</v>
      </c>
      <c r="AF80" s="22">
        <f t="shared" si="1"/>
        <v>1905.75</v>
      </c>
      <c r="AG80" s="22">
        <v>0</v>
      </c>
      <c r="AH80" s="22">
        <v>1905.75</v>
      </c>
      <c r="AI80" t="s">
        <v>562</v>
      </c>
      <c r="AJ80" t="s">
        <v>563</v>
      </c>
    </row>
    <row r="81" spans="1:36" ht="101.5" outlineLevel="2" x14ac:dyDescent="0.35">
      <c r="A81" s="19" t="s">
        <v>551</v>
      </c>
      <c r="B81" s="19" t="s">
        <v>885</v>
      </c>
      <c r="C81" s="19" t="s">
        <v>749</v>
      </c>
      <c r="D81" s="19">
        <v>2020</v>
      </c>
      <c r="E81" s="19" t="s">
        <v>554</v>
      </c>
      <c r="F81" s="19">
        <v>80091475</v>
      </c>
      <c r="G81" s="19" t="s">
        <v>886</v>
      </c>
      <c r="H81" s="19" t="s">
        <v>887</v>
      </c>
      <c r="I81" s="19" t="s">
        <v>31</v>
      </c>
      <c r="J81" s="20">
        <v>1</v>
      </c>
      <c r="K81" s="21">
        <v>44280</v>
      </c>
      <c r="L81" s="21">
        <v>44377</v>
      </c>
      <c r="M81" s="21">
        <v>44414</v>
      </c>
      <c r="N81" s="24" t="s">
        <v>2448</v>
      </c>
      <c r="O81" s="19" t="s">
        <v>557</v>
      </c>
      <c r="P81" s="19" t="s">
        <v>576</v>
      </c>
      <c r="Q81" s="19" t="s">
        <v>655</v>
      </c>
      <c r="R81" s="19" t="s">
        <v>616</v>
      </c>
      <c r="S81" s="19" t="s">
        <v>888</v>
      </c>
      <c r="T81" t="s">
        <v>98</v>
      </c>
      <c r="U81" s="22">
        <v>0</v>
      </c>
      <c r="V81" s="22">
        <v>0</v>
      </c>
      <c r="W81" s="22">
        <v>141.62</v>
      </c>
      <c r="X81" s="22">
        <v>0</v>
      </c>
      <c r="Y81" s="22">
        <v>12.66</v>
      </c>
      <c r="Z81" s="22">
        <v>0</v>
      </c>
      <c r="AA81" s="22">
        <v>0</v>
      </c>
      <c r="AB81" s="22">
        <v>0</v>
      </c>
      <c r="AC81" s="22">
        <v>0</v>
      </c>
      <c r="AD81" s="22">
        <v>0</v>
      </c>
      <c r="AE81" s="22">
        <v>154.28</v>
      </c>
      <c r="AF81" s="22">
        <f t="shared" si="1"/>
        <v>154.28</v>
      </c>
      <c r="AG81" s="22">
        <v>0</v>
      </c>
      <c r="AH81" s="22">
        <v>154.28</v>
      </c>
      <c r="AI81" t="s">
        <v>562</v>
      </c>
      <c r="AJ81" t="s">
        <v>563</v>
      </c>
    </row>
    <row r="82" spans="1:36" ht="43.5" outlineLevel="2" x14ac:dyDescent="0.35">
      <c r="A82" s="19" t="s">
        <v>551</v>
      </c>
      <c r="B82" s="19" t="s">
        <v>722</v>
      </c>
      <c r="C82" s="19" t="s">
        <v>723</v>
      </c>
      <c r="D82" s="19">
        <v>2020</v>
      </c>
      <c r="E82" s="19" t="s">
        <v>554</v>
      </c>
      <c r="F82" s="19">
        <v>80089976</v>
      </c>
      <c r="G82" s="19" t="s">
        <v>889</v>
      </c>
      <c r="H82" s="19" t="s">
        <v>890</v>
      </c>
      <c r="I82" s="19" t="s">
        <v>31</v>
      </c>
      <c r="J82" s="20">
        <v>1</v>
      </c>
      <c r="K82" s="21">
        <v>44273</v>
      </c>
      <c r="L82" s="21">
        <v>44277</v>
      </c>
      <c r="M82" s="21">
        <v>44399</v>
      </c>
      <c r="N82" s="24" t="s">
        <v>2448</v>
      </c>
      <c r="O82" s="19" t="s">
        <v>557</v>
      </c>
      <c r="P82" s="19" t="s">
        <v>568</v>
      </c>
      <c r="Q82" s="19" t="s">
        <v>704</v>
      </c>
      <c r="R82" s="19" t="s">
        <v>578</v>
      </c>
      <c r="S82" s="19" t="s">
        <v>891</v>
      </c>
      <c r="T82" t="s">
        <v>51</v>
      </c>
      <c r="U82" s="22">
        <v>0</v>
      </c>
      <c r="V82" s="22">
        <v>0</v>
      </c>
      <c r="W82" s="22">
        <v>159.97</v>
      </c>
      <c r="X82" s="22">
        <v>0</v>
      </c>
      <c r="Y82" s="22">
        <v>24.06</v>
      </c>
      <c r="Z82" s="22">
        <v>0</v>
      </c>
      <c r="AA82" s="22">
        <v>0</v>
      </c>
      <c r="AB82" s="22">
        <v>-4.1500000000000004</v>
      </c>
      <c r="AC82" s="22">
        <v>0</v>
      </c>
      <c r="AD82" s="22">
        <v>0</v>
      </c>
      <c r="AE82" s="22">
        <v>184.03</v>
      </c>
      <c r="AF82" s="22">
        <f t="shared" si="1"/>
        <v>179.88</v>
      </c>
      <c r="AG82" s="22">
        <v>0</v>
      </c>
      <c r="AH82" s="22">
        <v>179.88</v>
      </c>
      <c r="AI82" t="s">
        <v>562</v>
      </c>
      <c r="AJ82" t="s">
        <v>563</v>
      </c>
    </row>
    <row r="83" spans="1:36" ht="43.5" outlineLevel="2" x14ac:dyDescent="0.35">
      <c r="A83" s="19" t="s">
        <v>551</v>
      </c>
      <c r="B83" s="19" t="s">
        <v>580</v>
      </c>
      <c r="C83" s="19" t="s">
        <v>581</v>
      </c>
      <c r="D83" s="19">
        <v>2020</v>
      </c>
      <c r="E83" s="19" t="s">
        <v>554</v>
      </c>
      <c r="F83" s="19">
        <v>80090040</v>
      </c>
      <c r="G83" s="19" t="s">
        <v>892</v>
      </c>
      <c r="H83" s="19" t="s">
        <v>893</v>
      </c>
      <c r="I83" s="19" t="s">
        <v>31</v>
      </c>
      <c r="J83" s="20">
        <v>1</v>
      </c>
      <c r="K83" s="21">
        <v>44270</v>
      </c>
      <c r="L83" s="21">
        <v>44272</v>
      </c>
      <c r="M83" s="21">
        <v>44292</v>
      </c>
      <c r="N83" s="24" t="s">
        <v>2448</v>
      </c>
      <c r="O83" s="19" t="s">
        <v>557</v>
      </c>
      <c r="P83" s="19" t="s">
        <v>568</v>
      </c>
      <c r="Q83" s="19" t="s">
        <v>655</v>
      </c>
      <c r="R83" s="19" t="s">
        <v>616</v>
      </c>
      <c r="S83" s="19" t="s">
        <v>894</v>
      </c>
      <c r="T83" t="s">
        <v>51</v>
      </c>
      <c r="U83" s="22">
        <v>0</v>
      </c>
      <c r="V83" s="22">
        <v>0</v>
      </c>
      <c r="W83" s="22">
        <v>296.94</v>
      </c>
      <c r="X83" s="22">
        <v>0</v>
      </c>
      <c r="Y83" s="22">
        <v>34.85</v>
      </c>
      <c r="Z83" s="22">
        <v>0</v>
      </c>
      <c r="AA83" s="22">
        <v>0</v>
      </c>
      <c r="AB83" s="22">
        <v>0</v>
      </c>
      <c r="AC83" s="22">
        <v>0</v>
      </c>
      <c r="AD83" s="22">
        <v>0</v>
      </c>
      <c r="AE83" s="22">
        <v>331.79</v>
      </c>
      <c r="AF83" s="22">
        <f t="shared" si="1"/>
        <v>331.79</v>
      </c>
      <c r="AG83" s="22">
        <v>0</v>
      </c>
      <c r="AH83" s="22">
        <v>331.79</v>
      </c>
      <c r="AI83" t="s">
        <v>562</v>
      </c>
      <c r="AJ83" t="s">
        <v>563</v>
      </c>
    </row>
    <row r="84" spans="1:36" ht="72.5" outlineLevel="2" x14ac:dyDescent="0.35">
      <c r="A84" s="19" t="s">
        <v>551</v>
      </c>
      <c r="B84" s="19" t="s">
        <v>697</v>
      </c>
      <c r="C84" s="19" t="s">
        <v>698</v>
      </c>
      <c r="D84" s="19">
        <v>2020</v>
      </c>
      <c r="E84" s="19" t="s">
        <v>554</v>
      </c>
      <c r="F84" s="19">
        <v>80090037</v>
      </c>
      <c r="G84" s="19" t="s">
        <v>895</v>
      </c>
      <c r="H84" s="19" t="s">
        <v>896</v>
      </c>
      <c r="I84" s="19" t="s">
        <v>31</v>
      </c>
      <c r="J84" s="20">
        <v>1</v>
      </c>
      <c r="K84" s="21">
        <v>44265</v>
      </c>
      <c r="L84" s="21">
        <v>44270</v>
      </c>
      <c r="M84" s="21">
        <v>44449</v>
      </c>
      <c r="N84" s="24" t="s">
        <v>2448</v>
      </c>
      <c r="O84" s="19" t="s">
        <v>557</v>
      </c>
      <c r="P84" s="19" t="s">
        <v>568</v>
      </c>
      <c r="Q84" s="19" t="s">
        <v>720</v>
      </c>
      <c r="R84" s="19" t="s">
        <v>578</v>
      </c>
      <c r="S84" s="19" t="s">
        <v>897</v>
      </c>
      <c r="T84" t="s">
        <v>69</v>
      </c>
      <c r="U84" s="22">
        <v>0</v>
      </c>
      <c r="V84" s="22">
        <v>0</v>
      </c>
      <c r="W84" s="22">
        <v>691.69</v>
      </c>
      <c r="X84" s="22">
        <v>0</v>
      </c>
      <c r="Y84" s="22">
        <v>214.1</v>
      </c>
      <c r="Z84" s="22">
        <v>0</v>
      </c>
      <c r="AA84" s="22">
        <v>0</v>
      </c>
      <c r="AB84" s="22">
        <v>-151.85</v>
      </c>
      <c r="AC84" s="22">
        <v>0</v>
      </c>
      <c r="AD84" s="22">
        <v>0</v>
      </c>
      <c r="AE84" s="22">
        <v>905.79</v>
      </c>
      <c r="AF84" s="22">
        <f t="shared" si="1"/>
        <v>753.93999999999994</v>
      </c>
      <c r="AG84" s="22">
        <v>0</v>
      </c>
      <c r="AH84" s="22">
        <v>753.94</v>
      </c>
      <c r="AI84" t="s">
        <v>562</v>
      </c>
      <c r="AJ84" t="s">
        <v>563</v>
      </c>
    </row>
    <row r="85" spans="1:36" ht="43.5" outlineLevel="2" x14ac:dyDescent="0.35">
      <c r="A85" s="19" t="s">
        <v>551</v>
      </c>
      <c r="B85" s="19" t="s">
        <v>580</v>
      </c>
      <c r="C85" s="19" t="s">
        <v>581</v>
      </c>
      <c r="D85" s="19">
        <v>2020</v>
      </c>
      <c r="E85" s="19" t="s">
        <v>554</v>
      </c>
      <c r="F85" s="19">
        <v>80090025</v>
      </c>
      <c r="G85" s="19" t="s">
        <v>898</v>
      </c>
      <c r="H85" s="19" t="s">
        <v>899</v>
      </c>
      <c r="I85" s="19" t="s">
        <v>31</v>
      </c>
      <c r="J85" s="20">
        <v>1</v>
      </c>
      <c r="K85" s="21">
        <v>44243</v>
      </c>
      <c r="L85" s="21">
        <v>44243</v>
      </c>
      <c r="M85" s="21">
        <v>44265</v>
      </c>
      <c r="N85" s="24" t="s">
        <v>2448</v>
      </c>
      <c r="O85" s="19" t="s">
        <v>557</v>
      </c>
      <c r="P85" s="19" t="s">
        <v>568</v>
      </c>
      <c r="Q85" s="19" t="s">
        <v>625</v>
      </c>
      <c r="R85" s="19" t="s">
        <v>578</v>
      </c>
      <c r="S85" s="19" t="s">
        <v>900</v>
      </c>
      <c r="T85" t="s">
        <v>51</v>
      </c>
      <c r="U85" s="22">
        <v>0</v>
      </c>
      <c r="V85" s="22">
        <v>0</v>
      </c>
      <c r="W85" s="22">
        <v>389</v>
      </c>
      <c r="X85" s="22">
        <v>0</v>
      </c>
      <c r="Y85" s="22">
        <v>42.5</v>
      </c>
      <c r="Z85" s="22">
        <v>0</v>
      </c>
      <c r="AA85" s="22">
        <v>0</v>
      </c>
      <c r="AB85" s="22">
        <v>0</v>
      </c>
      <c r="AC85" s="22">
        <v>0</v>
      </c>
      <c r="AD85" s="22">
        <v>0</v>
      </c>
      <c r="AE85" s="22">
        <v>431.5</v>
      </c>
      <c r="AF85" s="22">
        <f t="shared" si="1"/>
        <v>431.5</v>
      </c>
      <c r="AG85" s="22">
        <v>0</v>
      </c>
      <c r="AH85" s="22">
        <v>431.5</v>
      </c>
      <c r="AI85" t="s">
        <v>562</v>
      </c>
      <c r="AJ85" t="s">
        <v>563</v>
      </c>
    </row>
    <row r="86" spans="1:36" ht="72.5" outlineLevel="2" x14ac:dyDescent="0.35">
      <c r="A86" s="19" t="s">
        <v>551</v>
      </c>
      <c r="B86" s="19" t="s">
        <v>580</v>
      </c>
      <c r="C86" s="19" t="s">
        <v>581</v>
      </c>
      <c r="D86" s="19">
        <v>2020</v>
      </c>
      <c r="E86" s="19" t="s">
        <v>554</v>
      </c>
      <c r="F86" s="19">
        <v>80089973</v>
      </c>
      <c r="G86" s="19" t="s">
        <v>901</v>
      </c>
      <c r="H86" s="19" t="s">
        <v>902</v>
      </c>
      <c r="I86" s="19" t="s">
        <v>31</v>
      </c>
      <c r="J86" s="20">
        <v>1</v>
      </c>
      <c r="K86" s="21">
        <v>44231</v>
      </c>
      <c r="L86" s="21">
        <v>44236</v>
      </c>
      <c r="M86" s="21">
        <v>44263</v>
      </c>
      <c r="N86" s="24" t="s">
        <v>2448</v>
      </c>
      <c r="O86" s="19" t="s">
        <v>557</v>
      </c>
      <c r="P86" s="19" t="s">
        <v>609</v>
      </c>
      <c r="Q86" s="19" t="s">
        <v>634</v>
      </c>
      <c r="R86" s="19" t="s">
        <v>616</v>
      </c>
      <c r="S86" s="19" t="s">
        <v>903</v>
      </c>
      <c r="T86" t="s">
        <v>51</v>
      </c>
      <c r="U86" s="22">
        <v>0</v>
      </c>
      <c r="V86" s="22">
        <v>0</v>
      </c>
      <c r="W86" s="22">
        <v>1152.95</v>
      </c>
      <c r="X86" s="22">
        <v>0</v>
      </c>
      <c r="Y86" s="22">
        <v>108.54</v>
      </c>
      <c r="Z86" s="22">
        <v>0</v>
      </c>
      <c r="AA86" s="22">
        <v>0</v>
      </c>
      <c r="AB86" s="22">
        <v>0</v>
      </c>
      <c r="AC86" s="22">
        <v>0</v>
      </c>
      <c r="AD86" s="22">
        <v>0</v>
      </c>
      <c r="AE86" s="22">
        <v>1261.49</v>
      </c>
      <c r="AF86" s="22">
        <f t="shared" si="1"/>
        <v>1261.49</v>
      </c>
      <c r="AG86" s="22">
        <v>0</v>
      </c>
      <c r="AH86" s="22">
        <v>1261.49</v>
      </c>
      <c r="AI86" t="s">
        <v>562</v>
      </c>
      <c r="AJ86" t="s">
        <v>563</v>
      </c>
    </row>
    <row r="87" spans="1:36" ht="29" outlineLevel="2" x14ac:dyDescent="0.35">
      <c r="A87" s="19" t="s">
        <v>551</v>
      </c>
      <c r="B87" s="19" t="s">
        <v>658</v>
      </c>
      <c r="C87" s="19" t="s">
        <v>643</v>
      </c>
      <c r="D87" s="19">
        <v>2020</v>
      </c>
      <c r="E87" s="19" t="s">
        <v>554</v>
      </c>
      <c r="F87" s="19">
        <v>80089988</v>
      </c>
      <c r="G87" s="19" t="s">
        <v>904</v>
      </c>
      <c r="H87" s="19" t="s">
        <v>905</v>
      </c>
      <c r="I87" s="19" t="s">
        <v>31</v>
      </c>
      <c r="J87" s="20">
        <v>1</v>
      </c>
      <c r="K87" s="21">
        <v>44229</v>
      </c>
      <c r="L87" s="21">
        <v>44237</v>
      </c>
      <c r="M87" s="21">
        <v>44922</v>
      </c>
      <c r="N87" s="24" t="s">
        <v>2448</v>
      </c>
      <c r="O87" s="19" t="s">
        <v>557</v>
      </c>
      <c r="P87" s="19" t="s">
        <v>568</v>
      </c>
      <c r="Q87" s="19" t="s">
        <v>704</v>
      </c>
      <c r="R87" s="19" t="s">
        <v>616</v>
      </c>
      <c r="S87" s="19" t="s">
        <v>906</v>
      </c>
      <c r="T87" t="s">
        <v>62</v>
      </c>
      <c r="U87" s="22">
        <v>4805.7</v>
      </c>
      <c r="V87" s="22">
        <v>0</v>
      </c>
      <c r="W87" s="22">
        <v>2298.08</v>
      </c>
      <c r="X87" s="22">
        <v>0</v>
      </c>
      <c r="Y87" s="22">
        <v>296.51</v>
      </c>
      <c r="Z87" s="22">
        <v>0</v>
      </c>
      <c r="AA87" s="22">
        <v>0</v>
      </c>
      <c r="AB87" s="22">
        <v>0</v>
      </c>
      <c r="AC87" s="22">
        <v>0</v>
      </c>
      <c r="AD87" s="22">
        <v>0</v>
      </c>
      <c r="AE87" s="22">
        <v>7400.29</v>
      </c>
      <c r="AF87" s="22">
        <f t="shared" si="1"/>
        <v>7400.29</v>
      </c>
      <c r="AG87" s="22">
        <v>0</v>
      </c>
      <c r="AH87" s="22">
        <v>7400.29</v>
      </c>
      <c r="AI87" t="s">
        <v>562</v>
      </c>
      <c r="AJ87" t="s">
        <v>563</v>
      </c>
    </row>
    <row r="88" spans="1:36" ht="58" outlineLevel="2" x14ac:dyDescent="0.35">
      <c r="A88" s="19" t="s">
        <v>551</v>
      </c>
      <c r="B88" s="19" t="s">
        <v>564</v>
      </c>
      <c r="C88" s="19" t="s">
        <v>565</v>
      </c>
      <c r="D88" s="19">
        <v>2020</v>
      </c>
      <c r="E88" s="19" t="s">
        <v>554</v>
      </c>
      <c r="F88" s="19">
        <v>80090063</v>
      </c>
      <c r="G88" s="19" t="s">
        <v>907</v>
      </c>
      <c r="H88" s="19" t="s">
        <v>908</v>
      </c>
      <c r="I88" s="19" t="s">
        <v>31</v>
      </c>
      <c r="J88" s="20">
        <v>1</v>
      </c>
      <c r="K88" s="21">
        <v>44221</v>
      </c>
      <c r="L88" s="21">
        <v>44228</v>
      </c>
      <c r="M88" s="21">
        <v>44239</v>
      </c>
      <c r="N88" s="24" t="s">
        <v>2448</v>
      </c>
      <c r="O88" s="19" t="s">
        <v>557</v>
      </c>
      <c r="P88" s="19" t="s">
        <v>568</v>
      </c>
      <c r="Q88" s="19" t="s">
        <v>655</v>
      </c>
      <c r="R88" s="19" t="s">
        <v>616</v>
      </c>
      <c r="S88" s="19" t="s">
        <v>909</v>
      </c>
      <c r="T88" t="s">
        <v>51</v>
      </c>
      <c r="U88" s="22">
        <v>0</v>
      </c>
      <c r="V88" s="22">
        <v>0</v>
      </c>
      <c r="W88" s="22">
        <v>1656.32</v>
      </c>
      <c r="X88" s="22">
        <v>0</v>
      </c>
      <c r="Y88" s="22">
        <v>149.83000000000001</v>
      </c>
      <c r="Z88" s="22">
        <v>0</v>
      </c>
      <c r="AA88" s="22">
        <v>0</v>
      </c>
      <c r="AB88" s="22">
        <v>0</v>
      </c>
      <c r="AC88" s="22">
        <v>0</v>
      </c>
      <c r="AD88" s="22">
        <v>0</v>
      </c>
      <c r="AE88" s="22">
        <v>1806.15</v>
      </c>
      <c r="AF88" s="22">
        <f t="shared" si="1"/>
        <v>1806.15</v>
      </c>
      <c r="AG88" s="22">
        <v>0</v>
      </c>
      <c r="AH88" s="22">
        <v>1806.15</v>
      </c>
      <c r="AI88" t="s">
        <v>562</v>
      </c>
      <c r="AJ88" t="s">
        <v>563</v>
      </c>
    </row>
    <row r="89" spans="1:36" ht="43.5" outlineLevel="2" x14ac:dyDescent="0.35">
      <c r="A89" s="19" t="s">
        <v>551</v>
      </c>
      <c r="B89" s="19" t="s">
        <v>885</v>
      </c>
      <c r="C89" s="19" t="s">
        <v>749</v>
      </c>
      <c r="D89" s="19">
        <v>2020</v>
      </c>
      <c r="E89" s="19" t="s">
        <v>554</v>
      </c>
      <c r="F89" s="19">
        <v>80090032</v>
      </c>
      <c r="G89" s="19" t="s">
        <v>910</v>
      </c>
      <c r="H89" s="19" t="s">
        <v>911</v>
      </c>
      <c r="I89" s="19" t="s">
        <v>31</v>
      </c>
      <c r="J89" s="20">
        <v>1</v>
      </c>
      <c r="K89" s="21">
        <v>44218</v>
      </c>
      <c r="L89" s="21">
        <v>44228</v>
      </c>
      <c r="M89" s="21">
        <v>44545</v>
      </c>
      <c r="N89" s="24" t="s">
        <v>2448</v>
      </c>
      <c r="O89" s="19" t="s">
        <v>557</v>
      </c>
      <c r="P89" s="19" t="s">
        <v>609</v>
      </c>
      <c r="Q89" s="19" t="s">
        <v>590</v>
      </c>
      <c r="R89" s="19" t="s">
        <v>570</v>
      </c>
      <c r="S89" s="19" t="s">
        <v>912</v>
      </c>
      <c r="T89" t="s">
        <v>98</v>
      </c>
      <c r="U89" s="22">
        <v>803.88</v>
      </c>
      <c r="V89" s="22">
        <v>0</v>
      </c>
      <c r="W89" s="22">
        <v>5477.17</v>
      </c>
      <c r="X89" s="22">
        <v>0</v>
      </c>
      <c r="Y89" s="22">
        <v>985.72</v>
      </c>
      <c r="Z89" s="22">
        <v>0</v>
      </c>
      <c r="AA89" s="22">
        <v>0</v>
      </c>
      <c r="AB89" s="22">
        <v>0</v>
      </c>
      <c r="AC89" s="22">
        <v>0</v>
      </c>
      <c r="AD89" s="22">
        <v>0</v>
      </c>
      <c r="AE89" s="22">
        <v>7266.77</v>
      </c>
      <c r="AF89" s="22">
        <f t="shared" si="1"/>
        <v>7266.77</v>
      </c>
      <c r="AG89" s="22">
        <v>0</v>
      </c>
      <c r="AH89" s="22">
        <v>7266.77</v>
      </c>
      <c r="AI89" t="s">
        <v>562</v>
      </c>
      <c r="AJ89" t="s">
        <v>563</v>
      </c>
    </row>
    <row r="90" spans="1:36" ht="72.5" outlineLevel="2" x14ac:dyDescent="0.35">
      <c r="A90" s="19" t="s">
        <v>551</v>
      </c>
      <c r="B90" s="19" t="s">
        <v>636</v>
      </c>
      <c r="C90" s="19" t="s">
        <v>594</v>
      </c>
      <c r="D90" s="19">
        <v>2020</v>
      </c>
      <c r="E90" s="19" t="s">
        <v>554</v>
      </c>
      <c r="F90" s="19">
        <v>80091421</v>
      </c>
      <c r="G90" s="19" t="s">
        <v>913</v>
      </c>
      <c r="H90" s="19" t="s">
        <v>914</v>
      </c>
      <c r="I90" s="19" t="s">
        <v>31</v>
      </c>
      <c r="J90" s="20">
        <v>1</v>
      </c>
      <c r="K90" s="21">
        <v>44201</v>
      </c>
      <c r="L90" s="21">
        <v>44201</v>
      </c>
      <c r="M90" s="21">
        <v>44708</v>
      </c>
      <c r="N90" s="24" t="s">
        <v>2448</v>
      </c>
      <c r="O90" s="19" t="s">
        <v>557</v>
      </c>
      <c r="P90" s="19" t="s">
        <v>568</v>
      </c>
      <c r="Q90" s="19" t="s">
        <v>590</v>
      </c>
      <c r="R90" s="19" t="s">
        <v>616</v>
      </c>
      <c r="S90" s="19" t="s">
        <v>915</v>
      </c>
      <c r="T90" t="s">
        <v>33</v>
      </c>
      <c r="U90" s="22">
        <v>3993.84</v>
      </c>
      <c r="V90" s="22">
        <v>0</v>
      </c>
      <c r="W90" s="22">
        <v>10387.99</v>
      </c>
      <c r="X90" s="22">
        <v>0</v>
      </c>
      <c r="Y90" s="22">
        <v>1026.6300000000001</v>
      </c>
      <c r="Z90" s="22">
        <v>0</v>
      </c>
      <c r="AA90" s="22">
        <v>0</v>
      </c>
      <c r="AB90" s="22">
        <v>-454.22</v>
      </c>
      <c r="AC90" s="22">
        <v>0</v>
      </c>
      <c r="AD90" s="22">
        <v>0</v>
      </c>
      <c r="AE90" s="22">
        <v>15408.46</v>
      </c>
      <c r="AF90" s="22">
        <f t="shared" si="1"/>
        <v>14954.24</v>
      </c>
      <c r="AG90" s="22">
        <v>0</v>
      </c>
      <c r="AH90" s="22">
        <v>14954.24</v>
      </c>
      <c r="AI90" t="s">
        <v>562</v>
      </c>
      <c r="AJ90" t="s">
        <v>563</v>
      </c>
    </row>
    <row r="91" spans="1:36" ht="72.5" outlineLevel="2" x14ac:dyDescent="0.35">
      <c r="A91" s="19" t="s">
        <v>551</v>
      </c>
      <c r="B91" s="19" t="s">
        <v>753</v>
      </c>
      <c r="C91" s="19" t="s">
        <v>553</v>
      </c>
      <c r="D91" s="19">
        <v>2020</v>
      </c>
      <c r="E91" s="19" t="s">
        <v>554</v>
      </c>
      <c r="F91" s="19">
        <v>80090012</v>
      </c>
      <c r="G91" s="19" t="s">
        <v>916</v>
      </c>
      <c r="H91" s="19" t="s">
        <v>917</v>
      </c>
      <c r="I91" s="19" t="s">
        <v>31</v>
      </c>
      <c r="J91" s="20">
        <v>1</v>
      </c>
      <c r="K91" s="21">
        <v>44200</v>
      </c>
      <c r="L91" s="21">
        <v>44215</v>
      </c>
      <c r="M91" s="21">
        <v>44334</v>
      </c>
      <c r="N91" s="24" t="s">
        <v>2448</v>
      </c>
      <c r="O91" s="19" t="s">
        <v>557</v>
      </c>
      <c r="P91" s="19" t="s">
        <v>568</v>
      </c>
      <c r="Q91" s="19" t="s">
        <v>704</v>
      </c>
      <c r="R91" s="19" t="s">
        <v>616</v>
      </c>
      <c r="S91" s="19" t="s">
        <v>918</v>
      </c>
      <c r="T91" t="s">
        <v>85</v>
      </c>
      <c r="U91" s="22">
        <v>0</v>
      </c>
      <c r="V91" s="22">
        <v>0</v>
      </c>
      <c r="W91" s="22">
        <v>1404.91</v>
      </c>
      <c r="X91" s="22">
        <v>0</v>
      </c>
      <c r="Y91" s="22">
        <v>136.06</v>
      </c>
      <c r="Z91" s="22">
        <v>0</v>
      </c>
      <c r="AA91" s="22">
        <v>0</v>
      </c>
      <c r="AB91" s="22">
        <v>0</v>
      </c>
      <c r="AC91" s="22">
        <v>0</v>
      </c>
      <c r="AD91" s="22">
        <v>0</v>
      </c>
      <c r="AE91" s="22">
        <v>1540.97</v>
      </c>
      <c r="AF91" s="22">
        <f t="shared" si="1"/>
        <v>1540.97</v>
      </c>
      <c r="AG91" s="22">
        <v>0</v>
      </c>
      <c r="AH91" s="22">
        <v>1540.97</v>
      </c>
      <c r="AI91" t="s">
        <v>562</v>
      </c>
      <c r="AJ91" t="s">
        <v>563</v>
      </c>
    </row>
    <row r="92" spans="1:36" ht="29" outlineLevel="2" x14ac:dyDescent="0.35">
      <c r="A92" s="19" t="s">
        <v>551</v>
      </c>
      <c r="B92" s="19" t="s">
        <v>636</v>
      </c>
      <c r="C92" s="19" t="s">
        <v>594</v>
      </c>
      <c r="D92" s="19">
        <v>2020</v>
      </c>
      <c r="E92" s="19" t="s">
        <v>554</v>
      </c>
      <c r="F92" s="19">
        <v>80091430</v>
      </c>
      <c r="G92" s="19" t="s">
        <v>919</v>
      </c>
      <c r="H92" s="19" t="s">
        <v>920</v>
      </c>
      <c r="I92" s="19" t="s">
        <v>31</v>
      </c>
      <c r="J92" s="20">
        <v>1</v>
      </c>
      <c r="K92" s="21">
        <v>44200</v>
      </c>
      <c r="L92" s="21">
        <v>44204</v>
      </c>
      <c r="M92" s="21">
        <v>44235</v>
      </c>
      <c r="N92" s="24" t="s">
        <v>2448</v>
      </c>
      <c r="O92" s="19" t="s">
        <v>557</v>
      </c>
      <c r="P92" s="19" t="s">
        <v>568</v>
      </c>
      <c r="Q92" s="19" t="s">
        <v>569</v>
      </c>
      <c r="R92" s="19" t="s">
        <v>570</v>
      </c>
      <c r="S92" s="19" t="s">
        <v>921</v>
      </c>
      <c r="T92" t="s">
        <v>33</v>
      </c>
      <c r="U92" s="22">
        <v>0</v>
      </c>
      <c r="V92" s="22">
        <v>0</v>
      </c>
      <c r="W92" s="22">
        <v>83.3</v>
      </c>
      <c r="X92" s="22">
        <v>0</v>
      </c>
      <c r="Y92" s="22">
        <v>22.05</v>
      </c>
      <c r="Z92" s="22">
        <v>0</v>
      </c>
      <c r="AA92" s="22">
        <v>0</v>
      </c>
      <c r="AB92" s="22">
        <v>0</v>
      </c>
      <c r="AC92" s="22">
        <v>0</v>
      </c>
      <c r="AD92" s="22">
        <v>0</v>
      </c>
      <c r="AE92" s="22">
        <v>105.35</v>
      </c>
      <c r="AF92" s="22">
        <f t="shared" si="1"/>
        <v>105.35</v>
      </c>
      <c r="AG92" s="22">
        <v>0</v>
      </c>
      <c r="AH92" s="22">
        <v>105.35</v>
      </c>
      <c r="AI92" t="s">
        <v>562</v>
      </c>
      <c r="AJ92" t="s">
        <v>563</v>
      </c>
    </row>
    <row r="93" spans="1:36" ht="43.5" outlineLevel="2" x14ac:dyDescent="0.35">
      <c r="A93" s="19" t="s">
        <v>551</v>
      </c>
      <c r="B93" s="19" t="s">
        <v>748</v>
      </c>
      <c r="C93" s="19" t="s">
        <v>749</v>
      </c>
      <c r="D93" s="19">
        <v>2020</v>
      </c>
      <c r="E93" s="19" t="s">
        <v>554</v>
      </c>
      <c r="F93" s="19">
        <v>80091420</v>
      </c>
      <c r="G93" s="19" t="s">
        <v>922</v>
      </c>
      <c r="H93" s="19" t="s">
        <v>923</v>
      </c>
      <c r="I93" s="19" t="s">
        <v>31</v>
      </c>
      <c r="J93" s="20">
        <v>1</v>
      </c>
      <c r="K93" s="21">
        <v>44186</v>
      </c>
      <c r="L93" s="21">
        <v>44194</v>
      </c>
      <c r="M93" s="21">
        <v>44222</v>
      </c>
      <c r="N93" s="24" t="s">
        <v>2448</v>
      </c>
      <c r="O93" s="19" t="s">
        <v>557</v>
      </c>
      <c r="P93" s="19" t="s">
        <v>609</v>
      </c>
      <c r="Q93" s="19" t="s">
        <v>735</v>
      </c>
      <c r="R93" s="19" t="s">
        <v>570</v>
      </c>
      <c r="S93" s="19" t="s">
        <v>924</v>
      </c>
      <c r="T93" t="s">
        <v>121</v>
      </c>
      <c r="U93" s="22">
        <v>0</v>
      </c>
      <c r="V93" s="22">
        <v>0</v>
      </c>
      <c r="W93" s="22">
        <v>0</v>
      </c>
      <c r="X93" s="22">
        <v>0</v>
      </c>
      <c r="Y93" s="22">
        <v>9.5</v>
      </c>
      <c r="Z93" s="22">
        <v>0</v>
      </c>
      <c r="AA93" s="22">
        <v>0</v>
      </c>
      <c r="AB93" s="22">
        <v>0</v>
      </c>
      <c r="AC93" s="22">
        <v>0</v>
      </c>
      <c r="AD93" s="22">
        <v>0</v>
      </c>
      <c r="AE93" s="22">
        <v>9.5</v>
      </c>
      <c r="AF93" s="22">
        <f t="shared" si="1"/>
        <v>9.5</v>
      </c>
      <c r="AG93" s="22">
        <v>0</v>
      </c>
      <c r="AH93" s="22">
        <v>9.5</v>
      </c>
      <c r="AI93" t="s">
        <v>562</v>
      </c>
      <c r="AJ93" t="s">
        <v>563</v>
      </c>
    </row>
    <row r="94" spans="1:36" ht="58" outlineLevel="2" x14ac:dyDescent="0.35">
      <c r="A94" s="19" t="s">
        <v>551</v>
      </c>
      <c r="B94" s="19" t="s">
        <v>599</v>
      </c>
      <c r="C94" s="19" t="s">
        <v>600</v>
      </c>
      <c r="D94" s="19">
        <v>2020</v>
      </c>
      <c r="E94" s="19" t="s">
        <v>554</v>
      </c>
      <c r="F94" s="19">
        <v>80091406</v>
      </c>
      <c r="G94" s="19" t="s">
        <v>925</v>
      </c>
      <c r="H94" s="19" t="s">
        <v>926</v>
      </c>
      <c r="I94" s="19" t="s">
        <v>31</v>
      </c>
      <c r="J94" s="20">
        <v>1</v>
      </c>
      <c r="K94" s="21">
        <v>44185</v>
      </c>
      <c r="L94" s="21">
        <v>44188</v>
      </c>
      <c r="M94" s="21">
        <v>44293</v>
      </c>
      <c r="N94" s="24" t="s">
        <v>2448</v>
      </c>
      <c r="O94" s="19" t="s">
        <v>557</v>
      </c>
      <c r="P94" s="19" t="s">
        <v>665</v>
      </c>
      <c r="Q94" s="19" t="s">
        <v>927</v>
      </c>
      <c r="R94" s="19" t="s">
        <v>928</v>
      </c>
      <c r="S94" s="19" t="s">
        <v>929</v>
      </c>
      <c r="T94" t="s">
        <v>51</v>
      </c>
      <c r="U94" s="22">
        <v>0</v>
      </c>
      <c r="V94" s="22">
        <v>0</v>
      </c>
      <c r="W94" s="22">
        <v>0</v>
      </c>
      <c r="X94" s="22">
        <v>0</v>
      </c>
      <c r="Y94" s="22">
        <v>16.309999999999999</v>
      </c>
      <c r="Z94" s="22">
        <v>0</v>
      </c>
      <c r="AA94" s="22">
        <v>0</v>
      </c>
      <c r="AB94" s="22">
        <v>0</v>
      </c>
      <c r="AC94" s="22">
        <v>0</v>
      </c>
      <c r="AD94" s="22">
        <v>0</v>
      </c>
      <c r="AE94" s="22">
        <v>16.309999999999999</v>
      </c>
      <c r="AF94" s="22">
        <f t="shared" si="1"/>
        <v>16.309999999999999</v>
      </c>
      <c r="AG94" s="22">
        <v>0</v>
      </c>
      <c r="AH94" s="22">
        <v>16.309999999999999</v>
      </c>
      <c r="AI94" t="s">
        <v>562</v>
      </c>
      <c r="AJ94" t="s">
        <v>563</v>
      </c>
    </row>
    <row r="95" spans="1:36" ht="43.5" outlineLevel="2" x14ac:dyDescent="0.35">
      <c r="A95" s="19" t="s">
        <v>551</v>
      </c>
      <c r="B95" s="19" t="s">
        <v>821</v>
      </c>
      <c r="C95" s="19" t="s">
        <v>749</v>
      </c>
      <c r="D95" s="19">
        <v>2020</v>
      </c>
      <c r="E95" s="19" t="s">
        <v>554</v>
      </c>
      <c r="F95" s="19">
        <v>80091429</v>
      </c>
      <c r="G95" s="19" t="s">
        <v>930</v>
      </c>
      <c r="H95" s="19" t="s">
        <v>931</v>
      </c>
      <c r="I95" s="19" t="s">
        <v>31</v>
      </c>
      <c r="J95" s="20">
        <v>1</v>
      </c>
      <c r="K95" s="21">
        <v>44182</v>
      </c>
      <c r="L95" s="21">
        <v>44182</v>
      </c>
      <c r="M95" s="21">
        <v>44888</v>
      </c>
      <c r="N95" s="24" t="s">
        <v>2448</v>
      </c>
      <c r="O95" s="19" t="s">
        <v>557</v>
      </c>
      <c r="P95" s="19" t="s">
        <v>568</v>
      </c>
      <c r="Q95" s="19" t="s">
        <v>704</v>
      </c>
      <c r="R95" s="19" t="s">
        <v>616</v>
      </c>
      <c r="S95" s="19" t="s">
        <v>932</v>
      </c>
      <c r="T95" t="s">
        <v>121</v>
      </c>
      <c r="U95" s="22">
        <v>0</v>
      </c>
      <c r="V95" s="22">
        <v>0</v>
      </c>
      <c r="W95" s="22">
        <v>3833.32</v>
      </c>
      <c r="X95" s="22">
        <v>0</v>
      </c>
      <c r="Y95" s="22">
        <v>174.06</v>
      </c>
      <c r="Z95" s="22">
        <v>0</v>
      </c>
      <c r="AA95" s="22">
        <v>0</v>
      </c>
      <c r="AB95" s="22">
        <v>0</v>
      </c>
      <c r="AC95" s="22">
        <v>0</v>
      </c>
      <c r="AD95" s="22">
        <v>0</v>
      </c>
      <c r="AE95" s="22">
        <v>4007.38</v>
      </c>
      <c r="AF95" s="22">
        <f t="shared" si="1"/>
        <v>4007.38</v>
      </c>
      <c r="AG95" s="22">
        <v>0</v>
      </c>
      <c r="AH95" s="22">
        <v>4007.38</v>
      </c>
      <c r="AI95" t="s">
        <v>562</v>
      </c>
      <c r="AJ95" t="s">
        <v>563</v>
      </c>
    </row>
    <row r="96" spans="1:36" ht="43.5" outlineLevel="2" x14ac:dyDescent="0.35">
      <c r="A96" s="19" t="s">
        <v>551</v>
      </c>
      <c r="B96" s="19" t="s">
        <v>885</v>
      </c>
      <c r="C96" s="19" t="s">
        <v>749</v>
      </c>
      <c r="D96" s="19">
        <v>2020</v>
      </c>
      <c r="E96" s="19" t="s">
        <v>554</v>
      </c>
      <c r="F96" s="19">
        <v>80091431</v>
      </c>
      <c r="G96" s="19" t="s">
        <v>933</v>
      </c>
      <c r="H96" s="19" t="s">
        <v>934</v>
      </c>
      <c r="I96" s="19" t="s">
        <v>31</v>
      </c>
      <c r="J96" s="20">
        <v>1</v>
      </c>
      <c r="K96" s="21">
        <v>44176</v>
      </c>
      <c r="L96" s="21">
        <v>44182</v>
      </c>
      <c r="M96" s="21">
        <v>44223</v>
      </c>
      <c r="N96" s="24" t="s">
        <v>2448</v>
      </c>
      <c r="O96" s="19" t="s">
        <v>557</v>
      </c>
      <c r="P96" s="19" t="s">
        <v>576</v>
      </c>
      <c r="Q96" s="19" t="s">
        <v>590</v>
      </c>
      <c r="R96" s="19" t="s">
        <v>616</v>
      </c>
      <c r="S96" s="19" t="s">
        <v>935</v>
      </c>
      <c r="T96" t="s">
        <v>98</v>
      </c>
      <c r="U96" s="22">
        <v>0</v>
      </c>
      <c r="V96" s="22">
        <v>0</v>
      </c>
      <c r="W96" s="22">
        <v>0</v>
      </c>
      <c r="X96" s="22">
        <v>0</v>
      </c>
      <c r="Y96" s="22">
        <v>0</v>
      </c>
      <c r="Z96" s="22">
        <v>0</v>
      </c>
      <c r="AA96" s="22">
        <v>0</v>
      </c>
      <c r="AB96" s="22">
        <v>0</v>
      </c>
      <c r="AC96" s="22">
        <v>0</v>
      </c>
      <c r="AD96" s="22">
        <v>0</v>
      </c>
      <c r="AE96" s="22">
        <v>0</v>
      </c>
      <c r="AF96" s="22">
        <f t="shared" si="1"/>
        <v>0</v>
      </c>
      <c r="AG96" s="22">
        <v>0</v>
      </c>
      <c r="AH96" s="22">
        <v>0</v>
      </c>
      <c r="AI96" t="s">
        <v>562</v>
      </c>
      <c r="AJ96" t="s">
        <v>563</v>
      </c>
    </row>
    <row r="97" spans="1:36" ht="43.5" outlineLevel="2" x14ac:dyDescent="0.35">
      <c r="A97" s="19" t="s">
        <v>551</v>
      </c>
      <c r="B97" s="19" t="s">
        <v>821</v>
      </c>
      <c r="C97" s="19" t="s">
        <v>749</v>
      </c>
      <c r="D97" s="19">
        <v>2020</v>
      </c>
      <c r="E97" s="19" t="s">
        <v>554</v>
      </c>
      <c r="F97" s="19">
        <v>80091422</v>
      </c>
      <c r="G97" s="19" t="s">
        <v>936</v>
      </c>
      <c r="H97" s="19" t="s">
        <v>937</v>
      </c>
      <c r="I97" s="19" t="s">
        <v>31</v>
      </c>
      <c r="J97" s="20">
        <v>1</v>
      </c>
      <c r="K97" s="21">
        <v>44173</v>
      </c>
      <c r="L97" s="21">
        <v>44175</v>
      </c>
      <c r="M97" s="21">
        <v>45037</v>
      </c>
      <c r="N97" s="24" t="s">
        <v>2448</v>
      </c>
      <c r="O97" s="19" t="s">
        <v>557</v>
      </c>
      <c r="P97" s="19" t="s">
        <v>568</v>
      </c>
      <c r="Q97" s="19" t="s">
        <v>704</v>
      </c>
      <c r="R97" s="19" t="s">
        <v>578</v>
      </c>
      <c r="S97" s="19" t="s">
        <v>938</v>
      </c>
      <c r="T97" t="s">
        <v>121</v>
      </c>
      <c r="U97" s="22">
        <v>939.06</v>
      </c>
      <c r="V97" s="22">
        <v>0</v>
      </c>
      <c r="W97" s="22">
        <v>29172</v>
      </c>
      <c r="X97" s="22">
        <v>0</v>
      </c>
      <c r="Y97" s="22">
        <v>853.82</v>
      </c>
      <c r="Z97" s="22">
        <v>0</v>
      </c>
      <c r="AA97" s="22">
        <v>0</v>
      </c>
      <c r="AB97" s="22">
        <v>-3260.65</v>
      </c>
      <c r="AC97" s="22">
        <v>0</v>
      </c>
      <c r="AD97" s="22">
        <v>0</v>
      </c>
      <c r="AE97" s="22">
        <v>30964.880000000001</v>
      </c>
      <c r="AF97" s="22">
        <f t="shared" si="1"/>
        <v>27704.23</v>
      </c>
      <c r="AG97" s="22">
        <v>0</v>
      </c>
      <c r="AH97" s="22">
        <v>27704.23</v>
      </c>
      <c r="AI97" t="s">
        <v>562</v>
      </c>
      <c r="AJ97" t="s">
        <v>563</v>
      </c>
    </row>
    <row r="98" spans="1:36" ht="43.5" outlineLevel="2" x14ac:dyDescent="0.35">
      <c r="A98" s="19" t="s">
        <v>551</v>
      </c>
      <c r="B98" s="19" t="s">
        <v>605</v>
      </c>
      <c r="C98" s="19" t="s">
        <v>606</v>
      </c>
      <c r="D98" s="19">
        <v>2020</v>
      </c>
      <c r="E98" s="19" t="s">
        <v>554</v>
      </c>
      <c r="F98" s="19">
        <v>80091410</v>
      </c>
      <c r="G98" s="19" t="s">
        <v>939</v>
      </c>
      <c r="H98" s="19" t="s">
        <v>940</v>
      </c>
      <c r="I98" s="19" t="s">
        <v>31</v>
      </c>
      <c r="J98" s="20">
        <v>1</v>
      </c>
      <c r="K98" s="21">
        <v>44167</v>
      </c>
      <c r="L98" s="21">
        <v>44167</v>
      </c>
      <c r="M98" s="21">
        <v>44392</v>
      </c>
      <c r="N98" s="24" t="s">
        <v>2448</v>
      </c>
      <c r="O98" s="19" t="s">
        <v>603</v>
      </c>
      <c r="P98" s="19" t="s">
        <v>665</v>
      </c>
      <c r="Q98" s="19" t="s">
        <v>569</v>
      </c>
      <c r="R98" s="19" t="s">
        <v>570</v>
      </c>
      <c r="S98" s="19" t="s">
        <v>941</v>
      </c>
      <c r="T98" t="s">
        <v>69</v>
      </c>
      <c r="U98" s="22">
        <v>0</v>
      </c>
      <c r="V98" s="22">
        <v>0</v>
      </c>
      <c r="W98" s="22">
        <v>1487.92</v>
      </c>
      <c r="X98" s="22">
        <v>0</v>
      </c>
      <c r="Y98" s="22">
        <v>99.6</v>
      </c>
      <c r="Z98" s="22">
        <v>0</v>
      </c>
      <c r="AA98" s="22">
        <v>0</v>
      </c>
      <c r="AB98" s="22">
        <v>0</v>
      </c>
      <c r="AC98" s="22">
        <v>0</v>
      </c>
      <c r="AD98" s="22">
        <v>0</v>
      </c>
      <c r="AE98" s="22">
        <v>1587.52</v>
      </c>
      <c r="AF98" s="22">
        <f t="shared" si="1"/>
        <v>1587.52</v>
      </c>
      <c r="AG98" s="22">
        <v>0</v>
      </c>
      <c r="AH98" s="22">
        <v>1587.52</v>
      </c>
      <c r="AI98" t="s">
        <v>562</v>
      </c>
      <c r="AJ98" t="s">
        <v>563</v>
      </c>
    </row>
    <row r="99" spans="1:36" ht="43.5" outlineLevel="2" x14ac:dyDescent="0.35">
      <c r="A99" s="19" t="s">
        <v>551</v>
      </c>
      <c r="B99" s="19" t="s">
        <v>764</v>
      </c>
      <c r="C99" s="19" t="s">
        <v>765</v>
      </c>
      <c r="D99" s="19">
        <v>2020</v>
      </c>
      <c r="E99" s="19" t="s">
        <v>554</v>
      </c>
      <c r="F99" s="19">
        <v>80091426</v>
      </c>
      <c r="G99" s="19" t="s">
        <v>942</v>
      </c>
      <c r="H99" s="19" t="s">
        <v>943</v>
      </c>
      <c r="I99" s="19" t="s">
        <v>31</v>
      </c>
      <c r="J99" s="20">
        <v>1</v>
      </c>
      <c r="K99" s="21">
        <v>44167</v>
      </c>
      <c r="L99" s="21">
        <v>44175</v>
      </c>
      <c r="M99" s="21">
        <v>44673</v>
      </c>
      <c r="N99" s="24" t="s">
        <v>2448</v>
      </c>
      <c r="O99" s="19" t="s">
        <v>557</v>
      </c>
      <c r="P99" s="19" t="s">
        <v>576</v>
      </c>
      <c r="Q99" s="19" t="s">
        <v>590</v>
      </c>
      <c r="R99" s="19" t="s">
        <v>616</v>
      </c>
      <c r="S99" s="19" t="s">
        <v>944</v>
      </c>
      <c r="T99" t="s">
        <v>769</v>
      </c>
      <c r="U99" s="22">
        <v>0</v>
      </c>
      <c r="V99" s="22">
        <v>0</v>
      </c>
      <c r="W99" s="22">
        <v>0</v>
      </c>
      <c r="X99" s="22">
        <v>0</v>
      </c>
      <c r="Y99" s="22">
        <v>19</v>
      </c>
      <c r="Z99" s="22">
        <v>0</v>
      </c>
      <c r="AA99" s="22">
        <v>0</v>
      </c>
      <c r="AB99" s="22">
        <v>0</v>
      </c>
      <c r="AC99" s="22">
        <v>0</v>
      </c>
      <c r="AD99" s="22">
        <v>0</v>
      </c>
      <c r="AE99" s="22">
        <v>19</v>
      </c>
      <c r="AF99" s="22">
        <f t="shared" si="1"/>
        <v>19</v>
      </c>
      <c r="AG99" s="22">
        <v>0</v>
      </c>
      <c r="AH99" s="22">
        <v>19</v>
      </c>
      <c r="AI99" t="s">
        <v>562</v>
      </c>
      <c r="AJ99" t="s">
        <v>563</v>
      </c>
    </row>
    <row r="100" spans="1:36" ht="43.5" outlineLevel="2" x14ac:dyDescent="0.35">
      <c r="A100" s="19" t="s">
        <v>551</v>
      </c>
      <c r="B100" s="19" t="s">
        <v>945</v>
      </c>
      <c r="C100" s="19" t="s">
        <v>946</v>
      </c>
      <c r="D100" s="19">
        <v>2020</v>
      </c>
      <c r="E100" s="19" t="s">
        <v>554</v>
      </c>
      <c r="F100" s="19">
        <v>80091435</v>
      </c>
      <c r="G100" s="19" t="s">
        <v>947</v>
      </c>
      <c r="H100" s="19" t="s">
        <v>948</v>
      </c>
      <c r="I100" s="19" t="s">
        <v>31</v>
      </c>
      <c r="J100" s="20">
        <v>1</v>
      </c>
      <c r="K100" s="21">
        <v>44152</v>
      </c>
      <c r="L100" s="21">
        <v>44152</v>
      </c>
      <c r="M100" s="21">
        <v>44209</v>
      </c>
      <c r="N100" s="24" t="s">
        <v>2448</v>
      </c>
      <c r="O100" s="19" t="s">
        <v>557</v>
      </c>
      <c r="P100" s="19" t="s">
        <v>665</v>
      </c>
      <c r="Q100" s="19" t="s">
        <v>927</v>
      </c>
      <c r="R100" s="19" t="s">
        <v>928</v>
      </c>
      <c r="S100" s="19" t="s">
        <v>949</v>
      </c>
      <c r="T100" t="s">
        <v>51</v>
      </c>
      <c r="U100" s="22">
        <v>0</v>
      </c>
      <c r="V100" s="22">
        <v>0</v>
      </c>
      <c r="W100" s="22">
        <v>0</v>
      </c>
      <c r="X100" s="22">
        <v>0</v>
      </c>
      <c r="Y100" s="22">
        <v>0</v>
      </c>
      <c r="Z100" s="22">
        <v>0</v>
      </c>
      <c r="AA100" s="22">
        <v>0</v>
      </c>
      <c r="AB100" s="22">
        <v>0</v>
      </c>
      <c r="AC100" s="22">
        <v>0</v>
      </c>
      <c r="AD100" s="22">
        <v>0</v>
      </c>
      <c r="AE100" s="22">
        <v>0</v>
      </c>
      <c r="AF100" s="22">
        <f t="shared" si="1"/>
        <v>0</v>
      </c>
      <c r="AG100" s="22">
        <v>0</v>
      </c>
      <c r="AH100" s="22">
        <v>0</v>
      </c>
      <c r="AI100" t="s">
        <v>562</v>
      </c>
      <c r="AJ100" t="s">
        <v>563</v>
      </c>
    </row>
    <row r="101" spans="1:36" ht="43.5" outlineLevel="2" x14ac:dyDescent="0.35">
      <c r="A101" s="19" t="s">
        <v>551</v>
      </c>
      <c r="B101" s="19" t="s">
        <v>658</v>
      </c>
      <c r="C101" s="19" t="s">
        <v>643</v>
      </c>
      <c r="D101" s="19">
        <v>2020</v>
      </c>
      <c r="E101" s="19" t="s">
        <v>554</v>
      </c>
      <c r="F101" s="19">
        <v>80091434</v>
      </c>
      <c r="G101" s="19" t="s">
        <v>950</v>
      </c>
      <c r="H101" s="19" t="s">
        <v>951</v>
      </c>
      <c r="I101" s="19" t="s">
        <v>31</v>
      </c>
      <c r="J101" s="20">
        <v>1</v>
      </c>
      <c r="K101" s="21">
        <v>44146</v>
      </c>
      <c r="L101" s="21">
        <v>44147</v>
      </c>
      <c r="M101" s="21">
        <v>44302</v>
      </c>
      <c r="N101" s="24" t="s">
        <v>2448</v>
      </c>
      <c r="O101" s="19" t="s">
        <v>557</v>
      </c>
      <c r="P101" s="19" t="s">
        <v>558</v>
      </c>
      <c r="Q101" s="19" t="s">
        <v>661</v>
      </c>
      <c r="R101" s="19" t="s">
        <v>591</v>
      </c>
      <c r="S101" s="19" t="s">
        <v>952</v>
      </c>
      <c r="T101" t="s">
        <v>62</v>
      </c>
      <c r="U101" s="22">
        <v>0</v>
      </c>
      <c r="V101" s="22">
        <v>0</v>
      </c>
      <c r="W101" s="22">
        <v>1188.0999999999999</v>
      </c>
      <c r="X101" s="22">
        <v>0</v>
      </c>
      <c r="Y101" s="22">
        <v>356.85</v>
      </c>
      <c r="Z101" s="22">
        <v>0</v>
      </c>
      <c r="AA101" s="22">
        <v>-1188.0999999999999</v>
      </c>
      <c r="AB101" s="22">
        <v>0</v>
      </c>
      <c r="AC101" s="22">
        <v>0</v>
      </c>
      <c r="AD101" s="22">
        <v>0</v>
      </c>
      <c r="AE101" s="22">
        <v>1544.95</v>
      </c>
      <c r="AF101" s="22">
        <f t="shared" si="1"/>
        <v>356.85000000000014</v>
      </c>
      <c r="AG101" s="22">
        <v>0</v>
      </c>
      <c r="AH101" s="22">
        <v>356.85</v>
      </c>
      <c r="AI101" t="s">
        <v>562</v>
      </c>
      <c r="AJ101" t="s">
        <v>563</v>
      </c>
    </row>
    <row r="102" spans="1:36" ht="43.5" outlineLevel="2" x14ac:dyDescent="0.35">
      <c r="A102" s="19" t="s">
        <v>551</v>
      </c>
      <c r="B102" s="19" t="s">
        <v>552</v>
      </c>
      <c r="C102" s="19" t="s">
        <v>553</v>
      </c>
      <c r="D102" s="19">
        <v>2020</v>
      </c>
      <c r="E102" s="19" t="s">
        <v>554</v>
      </c>
      <c r="F102" s="19">
        <v>80091404</v>
      </c>
      <c r="G102" s="19" t="s">
        <v>953</v>
      </c>
      <c r="H102" s="19" t="s">
        <v>954</v>
      </c>
      <c r="I102" s="19" t="s">
        <v>31</v>
      </c>
      <c r="J102" s="20">
        <v>1</v>
      </c>
      <c r="K102" s="21">
        <v>44140</v>
      </c>
      <c r="L102" s="21">
        <v>44144</v>
      </c>
      <c r="M102" s="21">
        <v>44866</v>
      </c>
      <c r="N102" s="24" t="s">
        <v>2448</v>
      </c>
      <c r="O102" s="19" t="s">
        <v>557</v>
      </c>
      <c r="P102" s="19" t="s">
        <v>609</v>
      </c>
      <c r="Q102" s="19" t="s">
        <v>625</v>
      </c>
      <c r="R102" s="19" t="s">
        <v>591</v>
      </c>
      <c r="S102" s="19" t="s">
        <v>955</v>
      </c>
      <c r="T102" t="s">
        <v>85</v>
      </c>
      <c r="U102" s="22">
        <v>2163.73</v>
      </c>
      <c r="V102" s="22">
        <v>0</v>
      </c>
      <c r="W102" s="22">
        <v>30711.52</v>
      </c>
      <c r="X102" s="22">
        <v>0</v>
      </c>
      <c r="Y102" s="22">
        <v>1142.7</v>
      </c>
      <c r="Z102" s="22">
        <v>0</v>
      </c>
      <c r="AA102" s="22">
        <v>0</v>
      </c>
      <c r="AB102" s="22">
        <v>-10</v>
      </c>
      <c r="AC102" s="22">
        <v>0</v>
      </c>
      <c r="AD102" s="22">
        <v>0</v>
      </c>
      <c r="AE102" s="22">
        <v>34017.949999999997</v>
      </c>
      <c r="AF102" s="22">
        <f t="shared" si="1"/>
        <v>34007.949999999997</v>
      </c>
      <c r="AG102" s="22">
        <v>0</v>
      </c>
      <c r="AH102" s="22">
        <v>34007.949999999997</v>
      </c>
      <c r="AI102" t="s">
        <v>562</v>
      </c>
      <c r="AJ102" t="s">
        <v>563</v>
      </c>
    </row>
    <row r="103" spans="1:36" ht="43.5" outlineLevel="2" x14ac:dyDescent="0.35">
      <c r="A103" s="19" t="s">
        <v>551</v>
      </c>
      <c r="B103" s="19" t="s">
        <v>605</v>
      </c>
      <c r="C103" s="19" t="s">
        <v>606</v>
      </c>
      <c r="D103" s="19">
        <v>2020</v>
      </c>
      <c r="E103" s="19" t="s">
        <v>554</v>
      </c>
      <c r="F103" s="19">
        <v>80091436</v>
      </c>
      <c r="G103" s="19" t="s">
        <v>956</v>
      </c>
      <c r="H103" s="19" t="s">
        <v>957</v>
      </c>
      <c r="I103" s="19" t="s">
        <v>31</v>
      </c>
      <c r="J103" s="20">
        <v>1</v>
      </c>
      <c r="K103" s="21">
        <v>44136</v>
      </c>
      <c r="L103" s="21">
        <v>44165</v>
      </c>
      <c r="M103" s="21">
        <v>44183</v>
      </c>
      <c r="N103" s="24" t="s">
        <v>2448</v>
      </c>
      <c r="O103" s="19" t="s">
        <v>603</v>
      </c>
      <c r="P103" s="19" t="s">
        <v>568</v>
      </c>
      <c r="Q103" s="19" t="s">
        <v>569</v>
      </c>
      <c r="R103" s="19" t="s">
        <v>591</v>
      </c>
      <c r="S103" s="19" t="s">
        <v>958</v>
      </c>
      <c r="T103" t="s">
        <v>69</v>
      </c>
      <c r="U103" s="22">
        <v>0</v>
      </c>
      <c r="V103" s="22">
        <v>0</v>
      </c>
      <c r="W103" s="22">
        <v>1749.01</v>
      </c>
      <c r="X103" s="22">
        <v>0</v>
      </c>
      <c r="Y103" s="22">
        <v>289.39</v>
      </c>
      <c r="Z103" s="22">
        <v>0</v>
      </c>
      <c r="AA103" s="22">
        <v>0</v>
      </c>
      <c r="AB103" s="22">
        <v>0</v>
      </c>
      <c r="AC103" s="22">
        <v>0</v>
      </c>
      <c r="AD103" s="22">
        <v>0</v>
      </c>
      <c r="AE103" s="22">
        <v>2038.4</v>
      </c>
      <c r="AF103" s="22">
        <f t="shared" si="1"/>
        <v>2038.4</v>
      </c>
      <c r="AG103" s="22">
        <v>0</v>
      </c>
      <c r="AH103" s="22">
        <v>2038.4</v>
      </c>
      <c r="AI103" t="s">
        <v>562</v>
      </c>
      <c r="AJ103" t="s">
        <v>563</v>
      </c>
    </row>
    <row r="104" spans="1:36" ht="43.5" outlineLevel="2" x14ac:dyDescent="0.35">
      <c r="A104" s="19" t="s">
        <v>551</v>
      </c>
      <c r="B104" s="19" t="s">
        <v>821</v>
      </c>
      <c r="C104" s="19" t="s">
        <v>749</v>
      </c>
      <c r="D104" s="19">
        <v>2020</v>
      </c>
      <c r="E104" s="19" t="s">
        <v>554</v>
      </c>
      <c r="F104" s="19">
        <v>80091417</v>
      </c>
      <c r="G104" s="19" t="s">
        <v>959</v>
      </c>
      <c r="H104" s="19" t="s">
        <v>960</v>
      </c>
      <c r="I104" s="19" t="s">
        <v>31</v>
      </c>
      <c r="J104" s="20">
        <v>1</v>
      </c>
      <c r="K104" s="21">
        <v>44120</v>
      </c>
      <c r="L104" s="21">
        <v>44124</v>
      </c>
      <c r="M104" s="21">
        <v>44259</v>
      </c>
      <c r="N104" s="24" t="s">
        <v>2448</v>
      </c>
      <c r="O104" s="19" t="s">
        <v>557</v>
      </c>
      <c r="P104" s="19" t="s">
        <v>568</v>
      </c>
      <c r="Q104" s="19" t="s">
        <v>625</v>
      </c>
      <c r="R104" s="19" t="s">
        <v>578</v>
      </c>
      <c r="S104" s="19" t="s">
        <v>961</v>
      </c>
      <c r="T104" t="s">
        <v>121</v>
      </c>
      <c r="U104" s="22">
        <v>0</v>
      </c>
      <c r="V104" s="22">
        <v>0</v>
      </c>
      <c r="W104" s="22">
        <v>1321.68</v>
      </c>
      <c r="X104" s="22">
        <v>0</v>
      </c>
      <c r="Y104" s="22">
        <v>34.18</v>
      </c>
      <c r="Z104" s="22">
        <v>0</v>
      </c>
      <c r="AA104" s="22">
        <v>0</v>
      </c>
      <c r="AB104" s="22">
        <v>0</v>
      </c>
      <c r="AC104" s="22">
        <v>0</v>
      </c>
      <c r="AD104" s="22">
        <v>0</v>
      </c>
      <c r="AE104" s="22">
        <v>1355.86</v>
      </c>
      <c r="AF104" s="22">
        <f t="shared" si="1"/>
        <v>1355.86</v>
      </c>
      <c r="AG104" s="22">
        <v>0</v>
      </c>
      <c r="AH104" s="22">
        <v>1355.86</v>
      </c>
      <c r="AI104" t="s">
        <v>562</v>
      </c>
      <c r="AJ104" t="s">
        <v>563</v>
      </c>
    </row>
    <row r="105" spans="1:36" ht="58" outlineLevel="2" x14ac:dyDescent="0.35">
      <c r="A105" s="19" t="s">
        <v>551</v>
      </c>
      <c r="B105" s="19" t="s">
        <v>697</v>
      </c>
      <c r="C105" s="19" t="s">
        <v>698</v>
      </c>
      <c r="D105" s="19">
        <v>2020</v>
      </c>
      <c r="E105" s="19" t="s">
        <v>554</v>
      </c>
      <c r="F105" s="19">
        <v>80091418</v>
      </c>
      <c r="G105" s="19" t="s">
        <v>962</v>
      </c>
      <c r="H105" s="19" t="s">
        <v>963</v>
      </c>
      <c r="I105" s="19" t="s">
        <v>31</v>
      </c>
      <c r="J105" s="20">
        <v>1</v>
      </c>
      <c r="K105" s="21">
        <v>44111</v>
      </c>
      <c r="L105" s="21">
        <v>44113</v>
      </c>
      <c r="M105" s="21">
        <v>44399</v>
      </c>
      <c r="N105" s="24" t="s">
        <v>2448</v>
      </c>
      <c r="O105" s="19" t="s">
        <v>557</v>
      </c>
      <c r="P105" s="19" t="s">
        <v>568</v>
      </c>
      <c r="Q105" s="19" t="s">
        <v>625</v>
      </c>
      <c r="R105" s="19" t="s">
        <v>578</v>
      </c>
      <c r="S105" s="19" t="s">
        <v>964</v>
      </c>
      <c r="T105" t="s">
        <v>69</v>
      </c>
      <c r="U105" s="22">
        <v>3965.72</v>
      </c>
      <c r="V105" s="22">
        <v>0</v>
      </c>
      <c r="W105" s="22">
        <v>7759.34</v>
      </c>
      <c r="X105" s="22">
        <v>0</v>
      </c>
      <c r="Y105" s="22">
        <v>959.66</v>
      </c>
      <c r="Z105" s="22">
        <v>0</v>
      </c>
      <c r="AA105" s="22">
        <v>0</v>
      </c>
      <c r="AB105" s="22">
        <v>-128.62</v>
      </c>
      <c r="AC105" s="22">
        <v>0</v>
      </c>
      <c r="AD105" s="22">
        <v>0</v>
      </c>
      <c r="AE105" s="22">
        <v>12684.72</v>
      </c>
      <c r="AF105" s="22">
        <f t="shared" si="1"/>
        <v>12556.099999999999</v>
      </c>
      <c r="AG105" s="22">
        <v>0</v>
      </c>
      <c r="AH105" s="22">
        <v>12556.1</v>
      </c>
      <c r="AI105" t="s">
        <v>562</v>
      </c>
      <c r="AJ105" t="s">
        <v>563</v>
      </c>
    </row>
    <row r="106" spans="1:36" ht="58" outlineLevel="2" x14ac:dyDescent="0.35">
      <c r="A106" s="19" t="s">
        <v>551</v>
      </c>
      <c r="B106" s="19" t="s">
        <v>580</v>
      </c>
      <c r="C106" s="19" t="s">
        <v>581</v>
      </c>
      <c r="D106" s="19">
        <v>2020</v>
      </c>
      <c r="E106" s="19" t="s">
        <v>554</v>
      </c>
      <c r="F106" s="19">
        <v>80091408</v>
      </c>
      <c r="G106" s="19" t="s">
        <v>965</v>
      </c>
      <c r="H106" s="19" t="s">
        <v>966</v>
      </c>
      <c r="I106" s="19" t="s">
        <v>31</v>
      </c>
      <c r="J106" s="20">
        <v>1</v>
      </c>
      <c r="K106" s="21">
        <v>44109</v>
      </c>
      <c r="L106" s="21">
        <v>44110</v>
      </c>
      <c r="M106" s="21">
        <v>44238</v>
      </c>
      <c r="N106" s="24" t="s">
        <v>2448</v>
      </c>
      <c r="O106" s="19" t="s">
        <v>557</v>
      </c>
      <c r="P106" s="19" t="s">
        <v>568</v>
      </c>
      <c r="Q106" s="19" t="s">
        <v>778</v>
      </c>
      <c r="R106" s="19" t="s">
        <v>570</v>
      </c>
      <c r="S106" s="19" t="s">
        <v>967</v>
      </c>
      <c r="T106" t="s">
        <v>51</v>
      </c>
      <c r="U106" s="22">
        <v>0</v>
      </c>
      <c r="V106" s="22">
        <v>0</v>
      </c>
      <c r="W106" s="22">
        <v>1682.24</v>
      </c>
      <c r="X106" s="22">
        <v>0</v>
      </c>
      <c r="Y106" s="22">
        <v>140.9</v>
      </c>
      <c r="Z106" s="22">
        <v>0</v>
      </c>
      <c r="AA106" s="22">
        <v>0</v>
      </c>
      <c r="AB106" s="22">
        <v>-16.670000000000002</v>
      </c>
      <c r="AC106" s="22">
        <v>0</v>
      </c>
      <c r="AD106" s="22">
        <v>0</v>
      </c>
      <c r="AE106" s="22">
        <v>1823.14</v>
      </c>
      <c r="AF106" s="22">
        <f t="shared" si="1"/>
        <v>1806.47</v>
      </c>
      <c r="AG106" s="22">
        <v>0</v>
      </c>
      <c r="AH106" s="22">
        <v>1806.47</v>
      </c>
      <c r="AI106" t="s">
        <v>562</v>
      </c>
      <c r="AJ106" t="s">
        <v>563</v>
      </c>
    </row>
    <row r="107" spans="1:36" ht="43.5" outlineLevel="2" x14ac:dyDescent="0.35">
      <c r="A107" s="19" t="s">
        <v>551</v>
      </c>
      <c r="B107" s="19" t="s">
        <v>697</v>
      </c>
      <c r="C107" s="19" t="s">
        <v>698</v>
      </c>
      <c r="D107" s="19">
        <v>2020</v>
      </c>
      <c r="E107" s="19" t="s">
        <v>554</v>
      </c>
      <c r="F107" s="19">
        <v>80091433</v>
      </c>
      <c r="G107" s="19" t="s">
        <v>968</v>
      </c>
      <c r="H107" s="19" t="s">
        <v>969</v>
      </c>
      <c r="I107" s="19" t="s">
        <v>31</v>
      </c>
      <c r="J107" s="20">
        <v>1</v>
      </c>
      <c r="K107" s="21">
        <v>44109</v>
      </c>
      <c r="L107" s="21">
        <v>44118</v>
      </c>
      <c r="M107" s="21">
        <v>44180</v>
      </c>
      <c r="N107" s="24" t="s">
        <v>2448</v>
      </c>
      <c r="O107" s="19" t="s">
        <v>557</v>
      </c>
      <c r="P107" s="19" t="s">
        <v>568</v>
      </c>
      <c r="Q107" s="19" t="s">
        <v>704</v>
      </c>
      <c r="R107" s="19" t="s">
        <v>578</v>
      </c>
      <c r="S107" s="19" t="s">
        <v>970</v>
      </c>
      <c r="T107" t="s">
        <v>69</v>
      </c>
      <c r="U107" s="22">
        <v>0</v>
      </c>
      <c r="V107" s="22">
        <v>0</v>
      </c>
      <c r="W107" s="22">
        <v>1626.35</v>
      </c>
      <c r="X107" s="22">
        <v>0</v>
      </c>
      <c r="Y107" s="22">
        <v>141.03</v>
      </c>
      <c r="Z107" s="22">
        <v>0</v>
      </c>
      <c r="AA107" s="22">
        <v>0</v>
      </c>
      <c r="AB107" s="22">
        <v>0</v>
      </c>
      <c r="AC107" s="22">
        <v>0</v>
      </c>
      <c r="AD107" s="22">
        <v>0</v>
      </c>
      <c r="AE107" s="22">
        <v>1767.38</v>
      </c>
      <c r="AF107" s="22">
        <f t="shared" si="1"/>
        <v>1767.38</v>
      </c>
      <c r="AG107" s="22">
        <v>0</v>
      </c>
      <c r="AH107" s="22">
        <v>1767.38</v>
      </c>
      <c r="AI107" t="s">
        <v>562</v>
      </c>
      <c r="AJ107" t="s">
        <v>563</v>
      </c>
    </row>
    <row r="108" spans="1:36" ht="43.5" outlineLevel="2" x14ac:dyDescent="0.35">
      <c r="A108" s="19" t="s">
        <v>551</v>
      </c>
      <c r="B108" s="19" t="s">
        <v>945</v>
      </c>
      <c r="C108" s="19" t="s">
        <v>946</v>
      </c>
      <c r="D108" s="19">
        <v>2020</v>
      </c>
      <c r="E108" s="19" t="s">
        <v>554</v>
      </c>
      <c r="F108" s="19">
        <v>80091398</v>
      </c>
      <c r="G108" s="19" t="s">
        <v>971</v>
      </c>
      <c r="H108" s="19" t="s">
        <v>972</v>
      </c>
      <c r="I108" s="19" t="s">
        <v>31</v>
      </c>
      <c r="J108" s="20">
        <v>1</v>
      </c>
      <c r="K108" s="21">
        <v>44106</v>
      </c>
      <c r="L108" s="21">
        <v>44120</v>
      </c>
      <c r="M108" s="21">
        <v>44203</v>
      </c>
      <c r="N108" s="24" t="s">
        <v>2448</v>
      </c>
      <c r="O108" s="19" t="s">
        <v>557</v>
      </c>
      <c r="P108" s="19" t="s">
        <v>568</v>
      </c>
      <c r="Q108" s="19" t="s">
        <v>625</v>
      </c>
      <c r="R108" s="19" t="s">
        <v>578</v>
      </c>
      <c r="S108" s="19" t="s">
        <v>973</v>
      </c>
      <c r="T108" t="s">
        <v>51</v>
      </c>
      <c r="U108" s="22">
        <v>0</v>
      </c>
      <c r="V108" s="22">
        <v>0</v>
      </c>
      <c r="W108" s="22">
        <v>673</v>
      </c>
      <c r="X108" s="22">
        <v>0</v>
      </c>
      <c r="Y108" s="22">
        <v>143.1</v>
      </c>
      <c r="Z108" s="22">
        <v>0</v>
      </c>
      <c r="AA108" s="22">
        <v>0</v>
      </c>
      <c r="AB108" s="22">
        <v>0</v>
      </c>
      <c r="AC108" s="22">
        <v>0</v>
      </c>
      <c r="AD108" s="22">
        <v>0</v>
      </c>
      <c r="AE108" s="22">
        <v>816.1</v>
      </c>
      <c r="AF108" s="22">
        <f t="shared" si="1"/>
        <v>816.1</v>
      </c>
      <c r="AG108" s="22">
        <v>0</v>
      </c>
      <c r="AH108" s="22">
        <v>816.1</v>
      </c>
      <c r="AI108" t="s">
        <v>562</v>
      </c>
      <c r="AJ108" t="s">
        <v>563</v>
      </c>
    </row>
    <row r="109" spans="1:36" ht="43.5" outlineLevel="2" x14ac:dyDescent="0.35">
      <c r="A109" s="19" t="s">
        <v>551</v>
      </c>
      <c r="B109" s="19" t="s">
        <v>974</v>
      </c>
      <c r="C109" s="19" t="s">
        <v>946</v>
      </c>
      <c r="D109" s="19">
        <v>2020</v>
      </c>
      <c r="E109" s="19" t="s">
        <v>554</v>
      </c>
      <c r="F109" s="19">
        <v>80091412</v>
      </c>
      <c r="G109" s="19" t="s">
        <v>975</v>
      </c>
      <c r="H109" s="19" t="s">
        <v>976</v>
      </c>
      <c r="I109" s="19" t="s">
        <v>31</v>
      </c>
      <c r="J109" s="20">
        <v>1</v>
      </c>
      <c r="K109" s="21">
        <v>44106</v>
      </c>
      <c r="L109" s="21">
        <v>44106</v>
      </c>
      <c r="M109" s="21">
        <v>44337</v>
      </c>
      <c r="N109" s="24" t="s">
        <v>2448</v>
      </c>
      <c r="O109" s="19" t="s">
        <v>557</v>
      </c>
      <c r="P109" s="19" t="s">
        <v>568</v>
      </c>
      <c r="Q109" s="19" t="s">
        <v>625</v>
      </c>
      <c r="R109" s="19" t="s">
        <v>578</v>
      </c>
      <c r="S109" s="19" t="s">
        <v>977</v>
      </c>
      <c r="T109" t="s">
        <v>51</v>
      </c>
      <c r="U109" s="22">
        <v>0</v>
      </c>
      <c r="V109" s="22">
        <v>0</v>
      </c>
      <c r="W109" s="22">
        <v>6439.37</v>
      </c>
      <c r="X109" s="22">
        <v>0</v>
      </c>
      <c r="Y109" s="22">
        <v>599.15</v>
      </c>
      <c r="Z109" s="22">
        <v>0</v>
      </c>
      <c r="AA109" s="22">
        <v>0</v>
      </c>
      <c r="AB109" s="22">
        <v>0</v>
      </c>
      <c r="AC109" s="22">
        <v>0</v>
      </c>
      <c r="AD109" s="22">
        <v>0</v>
      </c>
      <c r="AE109" s="22">
        <v>7038.52</v>
      </c>
      <c r="AF109" s="22">
        <f t="shared" si="1"/>
        <v>7038.52</v>
      </c>
      <c r="AG109" s="22">
        <v>0</v>
      </c>
      <c r="AH109" s="22">
        <v>7038.52</v>
      </c>
      <c r="AI109" t="s">
        <v>562</v>
      </c>
      <c r="AJ109" t="s">
        <v>563</v>
      </c>
    </row>
    <row r="110" spans="1:36" ht="130.5" outlineLevel="2" x14ac:dyDescent="0.35">
      <c r="A110" s="19" t="s">
        <v>551</v>
      </c>
      <c r="B110" s="19" t="s">
        <v>945</v>
      </c>
      <c r="C110" s="19" t="s">
        <v>946</v>
      </c>
      <c r="D110" s="19">
        <v>2020</v>
      </c>
      <c r="E110" s="19" t="s">
        <v>554</v>
      </c>
      <c r="F110" s="19">
        <v>80091432</v>
      </c>
      <c r="G110" s="19" t="s">
        <v>978</v>
      </c>
      <c r="H110" s="19" t="s">
        <v>979</v>
      </c>
      <c r="I110" s="19" t="s">
        <v>31</v>
      </c>
      <c r="J110" s="20">
        <v>1</v>
      </c>
      <c r="K110" s="21">
        <v>44106</v>
      </c>
      <c r="L110" s="21">
        <v>44116</v>
      </c>
      <c r="M110" s="21">
        <v>44176</v>
      </c>
      <c r="N110" s="24" t="s">
        <v>2448</v>
      </c>
      <c r="O110" s="19" t="s">
        <v>557</v>
      </c>
      <c r="P110" s="19" t="s">
        <v>665</v>
      </c>
      <c r="Q110" s="19" t="s">
        <v>927</v>
      </c>
      <c r="R110" s="19" t="s">
        <v>928</v>
      </c>
      <c r="S110" s="19" t="s">
        <v>980</v>
      </c>
      <c r="T110" t="s">
        <v>51</v>
      </c>
      <c r="U110" s="22">
        <v>0</v>
      </c>
      <c r="V110" s="22">
        <v>0</v>
      </c>
      <c r="W110" s="22">
        <v>0</v>
      </c>
      <c r="X110" s="22">
        <v>0</v>
      </c>
      <c r="Y110" s="22">
        <v>0</v>
      </c>
      <c r="Z110" s="22">
        <v>0</v>
      </c>
      <c r="AA110" s="22">
        <v>0</v>
      </c>
      <c r="AB110" s="22">
        <v>0</v>
      </c>
      <c r="AC110" s="22">
        <v>0</v>
      </c>
      <c r="AD110" s="22">
        <v>0</v>
      </c>
      <c r="AE110" s="22">
        <v>0</v>
      </c>
      <c r="AF110" s="22">
        <f t="shared" si="1"/>
        <v>0</v>
      </c>
      <c r="AG110" s="22">
        <v>0</v>
      </c>
      <c r="AH110" s="22">
        <v>0</v>
      </c>
      <c r="AI110" t="s">
        <v>562</v>
      </c>
      <c r="AJ110" t="s">
        <v>563</v>
      </c>
    </row>
    <row r="111" spans="1:36" ht="72.5" outlineLevel="2" x14ac:dyDescent="0.35">
      <c r="A111" s="19" t="s">
        <v>551</v>
      </c>
      <c r="B111" s="19" t="s">
        <v>981</v>
      </c>
      <c r="C111" s="19" t="s">
        <v>982</v>
      </c>
      <c r="D111" s="19">
        <v>2020</v>
      </c>
      <c r="E111" s="19" t="s">
        <v>554</v>
      </c>
      <c r="F111" s="19">
        <v>80091397</v>
      </c>
      <c r="G111" s="19" t="s">
        <v>983</v>
      </c>
      <c r="H111" s="19" t="s">
        <v>984</v>
      </c>
      <c r="I111" s="19" t="s">
        <v>31</v>
      </c>
      <c r="J111" s="20">
        <v>1</v>
      </c>
      <c r="K111" s="21">
        <v>44105</v>
      </c>
      <c r="L111" s="21">
        <v>44109</v>
      </c>
      <c r="M111" s="21">
        <v>44389</v>
      </c>
      <c r="N111" s="24" t="s">
        <v>2448</v>
      </c>
      <c r="O111" s="19" t="s">
        <v>557</v>
      </c>
      <c r="P111" s="19" t="s">
        <v>568</v>
      </c>
      <c r="Q111" s="19" t="s">
        <v>584</v>
      </c>
      <c r="R111" s="19" t="s">
        <v>578</v>
      </c>
      <c r="S111" s="19" t="s">
        <v>985</v>
      </c>
      <c r="T111" t="s">
        <v>51</v>
      </c>
      <c r="U111" s="22">
        <v>0</v>
      </c>
      <c r="V111" s="22">
        <v>0</v>
      </c>
      <c r="W111" s="22">
        <v>693.76</v>
      </c>
      <c r="X111" s="22">
        <v>0</v>
      </c>
      <c r="Y111" s="22">
        <v>38.89</v>
      </c>
      <c r="Z111" s="22">
        <v>0</v>
      </c>
      <c r="AA111" s="22">
        <v>0</v>
      </c>
      <c r="AB111" s="22">
        <v>0</v>
      </c>
      <c r="AC111" s="22">
        <v>0</v>
      </c>
      <c r="AD111" s="22">
        <v>0</v>
      </c>
      <c r="AE111" s="22">
        <v>732.65</v>
      </c>
      <c r="AF111" s="22">
        <f t="shared" si="1"/>
        <v>732.65</v>
      </c>
      <c r="AG111" s="22">
        <v>0</v>
      </c>
      <c r="AH111" s="22">
        <v>732.65</v>
      </c>
      <c r="AI111" t="s">
        <v>562</v>
      </c>
      <c r="AJ111" t="s">
        <v>563</v>
      </c>
    </row>
    <row r="112" spans="1:36" ht="43.5" outlineLevel="2" x14ac:dyDescent="0.35">
      <c r="A112" s="19" t="s">
        <v>551</v>
      </c>
      <c r="B112" s="19" t="s">
        <v>986</v>
      </c>
      <c r="C112" s="19" t="s">
        <v>553</v>
      </c>
      <c r="D112" s="19">
        <v>2020</v>
      </c>
      <c r="E112" s="19" t="s">
        <v>554</v>
      </c>
      <c r="F112" s="19">
        <v>80091407</v>
      </c>
      <c r="G112" s="19" t="s">
        <v>987</v>
      </c>
      <c r="H112" s="19" t="s">
        <v>988</v>
      </c>
      <c r="I112" s="19" t="s">
        <v>31</v>
      </c>
      <c r="J112" s="20">
        <v>1</v>
      </c>
      <c r="K112" s="21">
        <v>44104</v>
      </c>
      <c r="L112" s="21">
        <v>44106</v>
      </c>
      <c r="M112" s="21">
        <v>44525</v>
      </c>
      <c r="N112" s="24" t="s">
        <v>2448</v>
      </c>
      <c r="O112" s="19" t="s">
        <v>557</v>
      </c>
      <c r="P112" s="19" t="s">
        <v>576</v>
      </c>
      <c r="Q112" s="19" t="s">
        <v>577</v>
      </c>
      <c r="R112" s="19" t="s">
        <v>616</v>
      </c>
      <c r="S112" s="19" t="s">
        <v>989</v>
      </c>
      <c r="T112" t="s">
        <v>169</v>
      </c>
      <c r="U112" s="22">
        <v>0</v>
      </c>
      <c r="V112" s="22">
        <v>0</v>
      </c>
      <c r="W112" s="22">
        <v>361.64</v>
      </c>
      <c r="X112" s="22">
        <v>0</v>
      </c>
      <c r="Y112" s="22">
        <v>21.06</v>
      </c>
      <c r="Z112" s="22">
        <v>0</v>
      </c>
      <c r="AA112" s="22">
        <v>0</v>
      </c>
      <c r="AB112" s="22">
        <v>0</v>
      </c>
      <c r="AC112" s="22">
        <v>0</v>
      </c>
      <c r="AD112" s="22">
        <v>0</v>
      </c>
      <c r="AE112" s="22">
        <v>382.7</v>
      </c>
      <c r="AF112" s="22">
        <f t="shared" si="1"/>
        <v>382.7</v>
      </c>
      <c r="AG112" s="22">
        <v>0</v>
      </c>
      <c r="AH112" s="22">
        <v>382.7</v>
      </c>
      <c r="AI112" t="s">
        <v>562</v>
      </c>
      <c r="AJ112" t="s">
        <v>563</v>
      </c>
    </row>
    <row r="113" spans="1:36" ht="58" outlineLevel="2" x14ac:dyDescent="0.35">
      <c r="A113" s="19" t="s">
        <v>551</v>
      </c>
      <c r="B113" s="19" t="s">
        <v>672</v>
      </c>
      <c r="C113" s="19" t="s">
        <v>673</v>
      </c>
      <c r="D113" s="19">
        <v>2020</v>
      </c>
      <c r="E113" s="19" t="s">
        <v>554</v>
      </c>
      <c r="F113" s="19">
        <v>80091396</v>
      </c>
      <c r="G113" s="19" t="s">
        <v>990</v>
      </c>
      <c r="H113" s="19" t="s">
        <v>991</v>
      </c>
      <c r="I113" s="19" t="s">
        <v>31</v>
      </c>
      <c r="J113" s="20">
        <v>1</v>
      </c>
      <c r="K113" s="21">
        <v>44092</v>
      </c>
      <c r="L113" s="21">
        <v>44095</v>
      </c>
      <c r="M113" s="21">
        <v>44152</v>
      </c>
      <c r="N113" s="24" t="s">
        <v>2448</v>
      </c>
      <c r="O113" s="19" t="s">
        <v>557</v>
      </c>
      <c r="P113" s="19" t="s">
        <v>568</v>
      </c>
      <c r="Q113" s="19" t="s">
        <v>625</v>
      </c>
      <c r="R113" s="19" t="s">
        <v>578</v>
      </c>
      <c r="S113" s="19" t="s">
        <v>992</v>
      </c>
      <c r="T113" t="s">
        <v>51</v>
      </c>
      <c r="U113" s="22">
        <v>0</v>
      </c>
      <c r="V113" s="22">
        <v>0</v>
      </c>
      <c r="W113" s="22">
        <v>265.86</v>
      </c>
      <c r="X113" s="22">
        <v>0</v>
      </c>
      <c r="Y113" s="22">
        <v>45.34</v>
      </c>
      <c r="Z113" s="22">
        <v>0</v>
      </c>
      <c r="AA113" s="22">
        <v>0</v>
      </c>
      <c r="AB113" s="22">
        <v>0</v>
      </c>
      <c r="AC113" s="22">
        <v>0</v>
      </c>
      <c r="AD113" s="22">
        <v>0</v>
      </c>
      <c r="AE113" s="22">
        <v>311.2</v>
      </c>
      <c r="AF113" s="22">
        <f t="shared" si="1"/>
        <v>311.2</v>
      </c>
      <c r="AG113" s="22">
        <v>0</v>
      </c>
      <c r="AH113" s="22">
        <v>311.2</v>
      </c>
      <c r="AI113" t="s">
        <v>562</v>
      </c>
      <c r="AJ113" t="s">
        <v>563</v>
      </c>
    </row>
    <row r="114" spans="1:36" ht="43.5" outlineLevel="2" x14ac:dyDescent="0.35">
      <c r="A114" s="19" t="s">
        <v>551</v>
      </c>
      <c r="B114" s="19" t="s">
        <v>945</v>
      </c>
      <c r="C114" s="19" t="s">
        <v>946</v>
      </c>
      <c r="D114" s="19">
        <v>2020</v>
      </c>
      <c r="E114" s="19" t="s">
        <v>554</v>
      </c>
      <c r="F114" s="19">
        <v>80091411</v>
      </c>
      <c r="G114" s="19" t="s">
        <v>993</v>
      </c>
      <c r="H114" s="19" t="s">
        <v>994</v>
      </c>
      <c r="I114" s="19" t="s">
        <v>31</v>
      </c>
      <c r="J114" s="20">
        <v>1</v>
      </c>
      <c r="K114" s="21">
        <v>44077</v>
      </c>
      <c r="L114" s="21">
        <v>44120</v>
      </c>
      <c r="M114" s="21">
        <v>44238</v>
      </c>
      <c r="N114" s="24" t="s">
        <v>2448</v>
      </c>
      <c r="O114" s="19" t="s">
        <v>557</v>
      </c>
      <c r="P114" s="19" t="s">
        <v>568</v>
      </c>
      <c r="Q114" s="19" t="s">
        <v>625</v>
      </c>
      <c r="R114" s="19" t="s">
        <v>578</v>
      </c>
      <c r="S114" s="19" t="s">
        <v>995</v>
      </c>
      <c r="T114" t="s">
        <v>51</v>
      </c>
      <c r="U114" s="22">
        <v>0</v>
      </c>
      <c r="V114" s="22">
        <v>0</v>
      </c>
      <c r="W114" s="22">
        <v>676.23</v>
      </c>
      <c r="X114" s="22">
        <v>0</v>
      </c>
      <c r="Y114" s="22">
        <v>34.4</v>
      </c>
      <c r="Z114" s="22">
        <v>0</v>
      </c>
      <c r="AA114" s="22">
        <v>0</v>
      </c>
      <c r="AB114" s="22">
        <v>-2.0299999999999998</v>
      </c>
      <c r="AC114" s="22">
        <v>0</v>
      </c>
      <c r="AD114" s="22">
        <v>0</v>
      </c>
      <c r="AE114" s="22">
        <v>710.63</v>
      </c>
      <c r="AF114" s="22">
        <f t="shared" si="1"/>
        <v>708.6</v>
      </c>
      <c r="AG114" s="22">
        <v>0</v>
      </c>
      <c r="AH114" s="22">
        <v>708.6</v>
      </c>
      <c r="AI114" t="s">
        <v>562</v>
      </c>
      <c r="AJ114" t="s">
        <v>563</v>
      </c>
    </row>
    <row r="115" spans="1:36" ht="58" outlineLevel="2" x14ac:dyDescent="0.35">
      <c r="A115" s="19" t="s">
        <v>551</v>
      </c>
      <c r="B115" s="19" t="s">
        <v>996</v>
      </c>
      <c r="C115" s="19" t="s">
        <v>997</v>
      </c>
      <c r="D115" s="19">
        <v>2020</v>
      </c>
      <c r="E115" s="19" t="s">
        <v>554</v>
      </c>
      <c r="F115" s="19">
        <v>80091386</v>
      </c>
      <c r="G115" s="19" t="s">
        <v>998</v>
      </c>
      <c r="H115" s="19" t="s">
        <v>999</v>
      </c>
      <c r="I115" s="19" t="s">
        <v>31</v>
      </c>
      <c r="J115" s="20">
        <v>1</v>
      </c>
      <c r="K115" s="21">
        <v>44074</v>
      </c>
      <c r="L115" s="21">
        <v>44075</v>
      </c>
      <c r="M115" s="21">
        <v>44286</v>
      </c>
      <c r="N115" s="24" t="s">
        <v>2448</v>
      </c>
      <c r="O115" s="19" t="s">
        <v>557</v>
      </c>
      <c r="P115" s="19" t="s">
        <v>576</v>
      </c>
      <c r="Q115" s="19" t="s">
        <v>590</v>
      </c>
      <c r="R115" s="19" t="s">
        <v>578</v>
      </c>
      <c r="S115" s="19" t="s">
        <v>1000</v>
      </c>
      <c r="T115" t="s">
        <v>51</v>
      </c>
      <c r="U115" s="22">
        <v>0</v>
      </c>
      <c r="V115" s="22">
        <v>0</v>
      </c>
      <c r="W115" s="22">
        <v>2604.9699999999998</v>
      </c>
      <c r="X115" s="22">
        <v>0</v>
      </c>
      <c r="Y115" s="22">
        <v>621.35</v>
      </c>
      <c r="Z115" s="22">
        <v>0</v>
      </c>
      <c r="AA115" s="22">
        <v>0</v>
      </c>
      <c r="AB115" s="22">
        <v>0</v>
      </c>
      <c r="AC115" s="22">
        <v>0</v>
      </c>
      <c r="AD115" s="22">
        <v>0</v>
      </c>
      <c r="AE115" s="22">
        <v>3226.32</v>
      </c>
      <c r="AF115" s="22">
        <f t="shared" si="1"/>
        <v>3226.32</v>
      </c>
      <c r="AG115" s="22">
        <v>0</v>
      </c>
      <c r="AH115" s="22">
        <v>3226.32</v>
      </c>
      <c r="AI115" t="s">
        <v>562</v>
      </c>
      <c r="AJ115" t="s">
        <v>563</v>
      </c>
    </row>
    <row r="116" spans="1:36" ht="43.5" outlineLevel="2" x14ac:dyDescent="0.35">
      <c r="A116" s="19" t="s">
        <v>551</v>
      </c>
      <c r="B116" s="19" t="s">
        <v>1001</v>
      </c>
      <c r="C116" s="19" t="s">
        <v>1002</v>
      </c>
      <c r="D116" s="19">
        <v>2020</v>
      </c>
      <c r="E116" s="19" t="s">
        <v>554</v>
      </c>
      <c r="F116" s="19">
        <v>80091381</v>
      </c>
      <c r="G116" s="19" t="s">
        <v>1003</v>
      </c>
      <c r="H116" s="19" t="s">
        <v>1004</v>
      </c>
      <c r="I116" s="19" t="s">
        <v>31</v>
      </c>
      <c r="J116" s="20">
        <v>1</v>
      </c>
      <c r="K116" s="21">
        <v>44069</v>
      </c>
      <c r="L116" s="21">
        <v>44074</v>
      </c>
      <c r="M116" s="21">
        <v>44091</v>
      </c>
      <c r="N116" s="24" t="s">
        <v>2448</v>
      </c>
      <c r="O116" s="19" t="s">
        <v>557</v>
      </c>
      <c r="P116" s="19" t="s">
        <v>568</v>
      </c>
      <c r="Q116" s="19" t="s">
        <v>704</v>
      </c>
      <c r="R116" s="19" t="s">
        <v>616</v>
      </c>
      <c r="S116" s="19" t="s">
        <v>1005</v>
      </c>
      <c r="T116" t="s">
        <v>51</v>
      </c>
      <c r="U116" s="22">
        <v>0</v>
      </c>
      <c r="V116" s="22">
        <v>0</v>
      </c>
      <c r="W116" s="22">
        <v>327.19</v>
      </c>
      <c r="X116" s="22">
        <v>0</v>
      </c>
      <c r="Y116" s="22">
        <v>44.32</v>
      </c>
      <c r="Z116" s="22">
        <v>0</v>
      </c>
      <c r="AA116" s="22">
        <v>0</v>
      </c>
      <c r="AB116" s="22">
        <v>0</v>
      </c>
      <c r="AC116" s="22">
        <v>0</v>
      </c>
      <c r="AD116" s="22">
        <v>0</v>
      </c>
      <c r="AE116" s="22">
        <v>371.51</v>
      </c>
      <c r="AF116" s="22">
        <f t="shared" si="1"/>
        <v>371.51</v>
      </c>
      <c r="AG116" s="22">
        <v>0</v>
      </c>
      <c r="AH116" s="22">
        <v>371.51</v>
      </c>
      <c r="AI116" t="s">
        <v>562</v>
      </c>
      <c r="AJ116" t="s">
        <v>563</v>
      </c>
    </row>
    <row r="117" spans="1:36" ht="87" outlineLevel="2" x14ac:dyDescent="0.35">
      <c r="A117" s="19" t="s">
        <v>551</v>
      </c>
      <c r="B117" s="19" t="s">
        <v>636</v>
      </c>
      <c r="C117" s="19" t="s">
        <v>594</v>
      </c>
      <c r="D117" s="19">
        <v>2020</v>
      </c>
      <c r="E117" s="19" t="s">
        <v>554</v>
      </c>
      <c r="F117" s="19">
        <v>80091413</v>
      </c>
      <c r="G117" s="19" t="s">
        <v>1006</v>
      </c>
      <c r="H117" s="19" t="s">
        <v>1007</v>
      </c>
      <c r="I117" s="19" t="s">
        <v>31</v>
      </c>
      <c r="J117" s="20">
        <v>1</v>
      </c>
      <c r="K117" s="21">
        <v>44047</v>
      </c>
      <c r="L117" s="21">
        <v>44049</v>
      </c>
      <c r="M117" s="21">
        <v>44141</v>
      </c>
      <c r="N117" s="24" t="s">
        <v>2448</v>
      </c>
      <c r="O117" s="19" t="s">
        <v>557</v>
      </c>
      <c r="P117" s="19" t="s">
        <v>568</v>
      </c>
      <c r="Q117" s="19" t="s">
        <v>704</v>
      </c>
      <c r="R117" s="19" t="s">
        <v>578</v>
      </c>
      <c r="S117" s="19" t="s">
        <v>1008</v>
      </c>
      <c r="T117" t="s">
        <v>33</v>
      </c>
      <c r="U117" s="22">
        <v>0</v>
      </c>
      <c r="V117" s="22">
        <v>0</v>
      </c>
      <c r="W117" s="22">
        <v>104.92</v>
      </c>
      <c r="X117" s="22">
        <v>0</v>
      </c>
      <c r="Y117" s="22">
        <v>51.78</v>
      </c>
      <c r="Z117" s="22">
        <v>0</v>
      </c>
      <c r="AA117" s="22">
        <v>0</v>
      </c>
      <c r="AB117" s="22">
        <v>0</v>
      </c>
      <c r="AC117" s="22">
        <v>0</v>
      </c>
      <c r="AD117" s="22">
        <v>0</v>
      </c>
      <c r="AE117" s="22">
        <v>156.69999999999999</v>
      </c>
      <c r="AF117" s="22">
        <f t="shared" si="1"/>
        <v>156.69999999999999</v>
      </c>
      <c r="AG117" s="22">
        <v>0</v>
      </c>
      <c r="AH117" s="22">
        <v>156.69999999999999</v>
      </c>
      <c r="AI117" t="s">
        <v>562</v>
      </c>
      <c r="AJ117" t="s">
        <v>563</v>
      </c>
    </row>
    <row r="118" spans="1:36" ht="43.5" outlineLevel="2" x14ac:dyDescent="0.35">
      <c r="A118" s="19" t="s">
        <v>551</v>
      </c>
      <c r="B118" s="19" t="s">
        <v>658</v>
      </c>
      <c r="C118" s="19" t="s">
        <v>643</v>
      </c>
      <c r="D118" s="19">
        <v>2020</v>
      </c>
      <c r="E118" s="19" t="s">
        <v>554</v>
      </c>
      <c r="F118" s="19">
        <v>80091419</v>
      </c>
      <c r="G118" s="19" t="s">
        <v>1009</v>
      </c>
      <c r="H118" s="19" t="s">
        <v>1010</v>
      </c>
      <c r="I118" s="19" t="s">
        <v>31</v>
      </c>
      <c r="J118" s="20">
        <v>1</v>
      </c>
      <c r="K118" s="21">
        <v>44047</v>
      </c>
      <c r="L118" s="21">
        <v>44062</v>
      </c>
      <c r="M118" s="21">
        <v>44119</v>
      </c>
      <c r="N118" s="24" t="s">
        <v>2448</v>
      </c>
      <c r="O118" s="19" t="s">
        <v>557</v>
      </c>
      <c r="P118" s="19" t="s">
        <v>609</v>
      </c>
      <c r="Q118" s="19" t="s">
        <v>655</v>
      </c>
      <c r="R118" s="19" t="s">
        <v>591</v>
      </c>
      <c r="S118" s="19" t="s">
        <v>1011</v>
      </c>
      <c r="T118" t="s">
        <v>62</v>
      </c>
      <c r="U118" s="22">
        <v>425.92</v>
      </c>
      <c r="V118" s="22">
        <v>0</v>
      </c>
      <c r="W118" s="22">
        <v>332.48</v>
      </c>
      <c r="X118" s="22">
        <v>0</v>
      </c>
      <c r="Y118" s="22">
        <v>14.39</v>
      </c>
      <c r="Z118" s="22">
        <v>0</v>
      </c>
      <c r="AA118" s="22">
        <v>0</v>
      </c>
      <c r="AB118" s="22">
        <v>0</v>
      </c>
      <c r="AC118" s="22">
        <v>0</v>
      </c>
      <c r="AD118" s="22">
        <v>0</v>
      </c>
      <c r="AE118" s="22">
        <v>772.79</v>
      </c>
      <c r="AF118" s="22">
        <f t="shared" si="1"/>
        <v>772.79</v>
      </c>
      <c r="AG118" s="22">
        <v>0</v>
      </c>
      <c r="AH118" s="22">
        <v>772.79</v>
      </c>
      <c r="AI118" t="s">
        <v>562</v>
      </c>
      <c r="AJ118" t="s">
        <v>563</v>
      </c>
    </row>
    <row r="119" spans="1:36" ht="43.5" outlineLevel="2" x14ac:dyDescent="0.35">
      <c r="A119" s="19" t="s">
        <v>551</v>
      </c>
      <c r="B119" s="19" t="s">
        <v>636</v>
      </c>
      <c r="C119" s="19" t="s">
        <v>594</v>
      </c>
      <c r="D119" s="19">
        <v>2020</v>
      </c>
      <c r="E119" s="19" t="s">
        <v>554</v>
      </c>
      <c r="F119" s="19">
        <v>80091401</v>
      </c>
      <c r="G119" s="19" t="s">
        <v>1012</v>
      </c>
      <c r="H119" s="19" t="s">
        <v>1013</v>
      </c>
      <c r="I119" s="19" t="s">
        <v>31</v>
      </c>
      <c r="J119" s="20">
        <v>1</v>
      </c>
      <c r="K119" s="21">
        <v>44046</v>
      </c>
      <c r="L119" s="21">
        <v>44173</v>
      </c>
      <c r="M119" s="21">
        <v>44557</v>
      </c>
      <c r="N119" s="24" t="s">
        <v>2448</v>
      </c>
      <c r="O119" s="19" t="s">
        <v>557</v>
      </c>
      <c r="P119" s="19" t="s">
        <v>568</v>
      </c>
      <c r="Q119" s="19" t="s">
        <v>735</v>
      </c>
      <c r="R119" s="19" t="s">
        <v>570</v>
      </c>
      <c r="S119" s="19" t="s">
        <v>1014</v>
      </c>
      <c r="T119" t="s">
        <v>33</v>
      </c>
      <c r="U119" s="22">
        <v>0</v>
      </c>
      <c r="V119" s="22">
        <v>0</v>
      </c>
      <c r="W119" s="22">
        <v>4177.68</v>
      </c>
      <c r="X119" s="22">
        <v>0</v>
      </c>
      <c r="Y119" s="22">
        <v>619.94000000000005</v>
      </c>
      <c r="Z119" s="22">
        <v>0</v>
      </c>
      <c r="AA119" s="22">
        <v>0</v>
      </c>
      <c r="AB119" s="22">
        <v>0</v>
      </c>
      <c r="AC119" s="22">
        <v>0</v>
      </c>
      <c r="AD119" s="22">
        <v>0</v>
      </c>
      <c r="AE119" s="22">
        <v>4797.62</v>
      </c>
      <c r="AF119" s="22">
        <f t="shared" si="1"/>
        <v>4797.62</v>
      </c>
      <c r="AG119" s="22">
        <v>0</v>
      </c>
      <c r="AH119" s="22">
        <v>4797.62</v>
      </c>
      <c r="AI119" t="s">
        <v>562</v>
      </c>
      <c r="AJ119" t="s">
        <v>563</v>
      </c>
    </row>
    <row r="120" spans="1:36" ht="72.5" outlineLevel="2" x14ac:dyDescent="0.35">
      <c r="A120" s="19" t="s">
        <v>551</v>
      </c>
      <c r="B120" s="19" t="s">
        <v>1015</v>
      </c>
      <c r="C120" s="19" t="s">
        <v>1016</v>
      </c>
      <c r="D120" s="19">
        <v>2020</v>
      </c>
      <c r="E120" s="19" t="s">
        <v>554</v>
      </c>
      <c r="F120" s="19">
        <v>80091379</v>
      </c>
      <c r="G120" s="19" t="s">
        <v>1017</v>
      </c>
      <c r="H120" s="19" t="s">
        <v>1018</v>
      </c>
      <c r="I120" s="19" t="s">
        <v>31</v>
      </c>
      <c r="J120" s="20">
        <v>1</v>
      </c>
      <c r="K120" s="21">
        <v>44040</v>
      </c>
      <c r="L120" s="21">
        <v>44046</v>
      </c>
      <c r="M120" s="21">
        <v>44484</v>
      </c>
      <c r="N120" s="24" t="s">
        <v>2448</v>
      </c>
      <c r="O120" s="19" t="s">
        <v>557</v>
      </c>
      <c r="P120" s="19" t="s">
        <v>568</v>
      </c>
      <c r="Q120" s="19" t="s">
        <v>1019</v>
      </c>
      <c r="R120" s="19" t="s">
        <v>708</v>
      </c>
      <c r="S120" s="19" t="s">
        <v>1020</v>
      </c>
      <c r="T120" t="s">
        <v>1021</v>
      </c>
      <c r="U120" s="22">
        <v>5339.06</v>
      </c>
      <c r="V120" s="22">
        <v>0</v>
      </c>
      <c r="W120" s="22">
        <v>32009.15</v>
      </c>
      <c r="X120" s="22">
        <v>0</v>
      </c>
      <c r="Y120" s="22">
        <v>1069.28</v>
      </c>
      <c r="Z120" s="22">
        <v>0</v>
      </c>
      <c r="AA120" s="22">
        <v>0</v>
      </c>
      <c r="AB120" s="22">
        <v>-346.37</v>
      </c>
      <c r="AC120" s="22">
        <v>0</v>
      </c>
      <c r="AD120" s="22">
        <v>0</v>
      </c>
      <c r="AE120" s="22">
        <v>38417.49</v>
      </c>
      <c r="AF120" s="22">
        <f t="shared" si="1"/>
        <v>38071.119999999995</v>
      </c>
      <c r="AG120" s="22">
        <v>0</v>
      </c>
      <c r="AH120" s="22">
        <v>38071.120000000003</v>
      </c>
      <c r="AI120" t="s">
        <v>562</v>
      </c>
      <c r="AJ120" t="s">
        <v>563</v>
      </c>
    </row>
    <row r="121" spans="1:36" ht="29" outlineLevel="2" x14ac:dyDescent="0.35">
      <c r="A121" s="19" t="s">
        <v>551</v>
      </c>
      <c r="B121" s="19" t="s">
        <v>658</v>
      </c>
      <c r="C121" s="19" t="s">
        <v>643</v>
      </c>
      <c r="D121" s="19">
        <v>2020</v>
      </c>
      <c r="E121" s="19" t="s">
        <v>554</v>
      </c>
      <c r="F121" s="19">
        <v>80082986</v>
      </c>
      <c r="G121" s="19" t="s">
        <v>1022</v>
      </c>
      <c r="H121" s="19" t="s">
        <v>1023</v>
      </c>
      <c r="I121" s="19" t="s">
        <v>687</v>
      </c>
      <c r="J121" s="20">
        <v>1</v>
      </c>
      <c r="K121" s="21">
        <v>44039</v>
      </c>
      <c r="L121" s="21">
        <v>44039</v>
      </c>
      <c r="N121" s="24" t="s">
        <v>2448</v>
      </c>
      <c r="O121" s="19" t="s">
        <v>557</v>
      </c>
      <c r="P121" s="19" t="s">
        <v>665</v>
      </c>
      <c r="Q121" s="19" t="s">
        <v>569</v>
      </c>
      <c r="R121" s="19" t="s">
        <v>591</v>
      </c>
      <c r="S121" s="19" t="s">
        <v>1024</v>
      </c>
      <c r="T121" t="s">
        <v>62</v>
      </c>
      <c r="U121" s="22">
        <v>13648.96</v>
      </c>
      <c r="V121" s="22">
        <v>11376.04</v>
      </c>
      <c r="W121" s="22">
        <v>11036.52</v>
      </c>
      <c r="X121" s="22">
        <v>1500.48</v>
      </c>
      <c r="Y121" s="22">
        <v>37464.04</v>
      </c>
      <c r="Z121" s="22">
        <v>382.96</v>
      </c>
      <c r="AA121" s="22">
        <v>0</v>
      </c>
      <c r="AB121" s="22">
        <v>0</v>
      </c>
      <c r="AC121" s="22">
        <v>0</v>
      </c>
      <c r="AD121" s="22">
        <v>0</v>
      </c>
      <c r="AE121" s="22">
        <v>62149.52</v>
      </c>
      <c r="AF121" s="22">
        <f t="shared" si="1"/>
        <v>62149.52</v>
      </c>
      <c r="AG121" s="22">
        <v>13259.48</v>
      </c>
      <c r="AH121" s="22">
        <v>75409</v>
      </c>
      <c r="AI121" t="s">
        <v>562</v>
      </c>
      <c r="AJ121" t="s">
        <v>563</v>
      </c>
    </row>
    <row r="122" spans="1:36" ht="43.5" outlineLevel="2" x14ac:dyDescent="0.35">
      <c r="A122" s="19" t="s">
        <v>551</v>
      </c>
      <c r="B122" s="19" t="s">
        <v>1025</v>
      </c>
      <c r="C122" s="19" t="s">
        <v>673</v>
      </c>
      <c r="D122" s="19">
        <v>2020</v>
      </c>
      <c r="E122" s="19" t="s">
        <v>554</v>
      </c>
      <c r="F122" s="19">
        <v>80091375</v>
      </c>
      <c r="G122" s="19" t="s">
        <v>1026</v>
      </c>
      <c r="H122" s="19" t="s">
        <v>1027</v>
      </c>
      <c r="I122" s="19" t="s">
        <v>31</v>
      </c>
      <c r="J122" s="20">
        <v>1</v>
      </c>
      <c r="K122" s="21">
        <v>44039</v>
      </c>
      <c r="L122" s="21">
        <v>44040</v>
      </c>
      <c r="M122" s="21">
        <v>44049</v>
      </c>
      <c r="N122" s="24" t="s">
        <v>2448</v>
      </c>
      <c r="O122" s="19" t="s">
        <v>557</v>
      </c>
      <c r="P122" s="19" t="s">
        <v>568</v>
      </c>
      <c r="Q122" s="19" t="s">
        <v>704</v>
      </c>
      <c r="R122" s="19" t="s">
        <v>578</v>
      </c>
      <c r="S122" s="19" t="s">
        <v>1028</v>
      </c>
      <c r="T122" t="s">
        <v>51</v>
      </c>
      <c r="U122" s="22">
        <v>0</v>
      </c>
      <c r="V122" s="22">
        <v>0</v>
      </c>
      <c r="W122" s="22">
        <v>387.42</v>
      </c>
      <c r="X122" s="22">
        <v>0</v>
      </c>
      <c r="Y122" s="22">
        <v>21.22</v>
      </c>
      <c r="Z122" s="22">
        <v>0</v>
      </c>
      <c r="AA122" s="22">
        <v>0</v>
      </c>
      <c r="AB122" s="22">
        <v>0</v>
      </c>
      <c r="AC122" s="22">
        <v>0</v>
      </c>
      <c r="AD122" s="22">
        <v>0</v>
      </c>
      <c r="AE122" s="22">
        <v>408.64</v>
      </c>
      <c r="AF122" s="22">
        <f t="shared" si="1"/>
        <v>408.64</v>
      </c>
      <c r="AG122" s="22">
        <v>0</v>
      </c>
      <c r="AH122" s="22">
        <v>408.64</v>
      </c>
      <c r="AI122" t="s">
        <v>562</v>
      </c>
      <c r="AJ122" t="s">
        <v>563</v>
      </c>
    </row>
    <row r="123" spans="1:36" ht="43.5" outlineLevel="2" x14ac:dyDescent="0.35">
      <c r="A123" s="19" t="s">
        <v>551</v>
      </c>
      <c r="B123" s="19" t="s">
        <v>652</v>
      </c>
      <c r="C123" s="19" t="s">
        <v>600</v>
      </c>
      <c r="D123" s="19">
        <v>2020</v>
      </c>
      <c r="E123" s="19" t="s">
        <v>554</v>
      </c>
      <c r="F123" s="19">
        <v>80091423</v>
      </c>
      <c r="G123" s="19" t="s">
        <v>1029</v>
      </c>
      <c r="H123" s="19" t="s">
        <v>1030</v>
      </c>
      <c r="I123" s="19" t="s">
        <v>31</v>
      </c>
      <c r="J123" s="20">
        <v>1</v>
      </c>
      <c r="K123" s="21">
        <v>44033</v>
      </c>
      <c r="L123" s="21">
        <v>44034</v>
      </c>
      <c r="M123" s="21">
        <v>44167</v>
      </c>
      <c r="N123" s="24" t="s">
        <v>2448</v>
      </c>
      <c r="O123" s="19" t="s">
        <v>557</v>
      </c>
      <c r="P123" s="19" t="s">
        <v>665</v>
      </c>
      <c r="Q123" s="19" t="s">
        <v>569</v>
      </c>
      <c r="R123" s="19" t="s">
        <v>570</v>
      </c>
      <c r="S123" s="19" t="s">
        <v>1031</v>
      </c>
      <c r="T123" t="s">
        <v>51</v>
      </c>
      <c r="U123" s="22">
        <v>0</v>
      </c>
      <c r="V123" s="22">
        <v>0</v>
      </c>
      <c r="W123" s="22">
        <v>1723.01</v>
      </c>
      <c r="X123" s="22">
        <v>0</v>
      </c>
      <c r="Y123" s="22">
        <v>136</v>
      </c>
      <c r="Z123" s="22">
        <v>0</v>
      </c>
      <c r="AA123" s="22">
        <v>0</v>
      </c>
      <c r="AB123" s="22">
        <v>0</v>
      </c>
      <c r="AC123" s="22">
        <v>0</v>
      </c>
      <c r="AD123" s="22">
        <v>0</v>
      </c>
      <c r="AE123" s="22">
        <v>1859.01</v>
      </c>
      <c r="AF123" s="22">
        <f t="shared" si="1"/>
        <v>1859.01</v>
      </c>
      <c r="AG123" s="22">
        <v>0</v>
      </c>
      <c r="AH123" s="22">
        <v>1859.01</v>
      </c>
      <c r="AI123" t="s">
        <v>562</v>
      </c>
      <c r="AJ123" t="s">
        <v>563</v>
      </c>
    </row>
    <row r="124" spans="1:36" ht="43.5" outlineLevel="2" x14ac:dyDescent="0.35">
      <c r="A124" s="19" t="s">
        <v>551</v>
      </c>
      <c r="B124" s="19" t="s">
        <v>599</v>
      </c>
      <c r="C124" s="19" t="s">
        <v>600</v>
      </c>
      <c r="D124" s="19">
        <v>2020</v>
      </c>
      <c r="E124" s="19" t="s">
        <v>554</v>
      </c>
      <c r="F124" s="19">
        <v>80091414</v>
      </c>
      <c r="G124" s="19" t="s">
        <v>1032</v>
      </c>
      <c r="H124" s="19" t="s">
        <v>1033</v>
      </c>
      <c r="I124" s="19" t="s">
        <v>31</v>
      </c>
      <c r="J124" s="20">
        <v>1</v>
      </c>
      <c r="K124" s="21">
        <v>44032</v>
      </c>
      <c r="L124" s="21">
        <v>44120</v>
      </c>
      <c r="M124" s="21">
        <v>44218</v>
      </c>
      <c r="N124" s="24" t="s">
        <v>2448</v>
      </c>
      <c r="O124" s="19" t="s">
        <v>557</v>
      </c>
      <c r="P124" s="19" t="s">
        <v>665</v>
      </c>
      <c r="Q124" s="19" t="s">
        <v>927</v>
      </c>
      <c r="R124" s="19" t="s">
        <v>928</v>
      </c>
      <c r="S124" s="19" t="s">
        <v>1034</v>
      </c>
      <c r="T124" t="s">
        <v>51</v>
      </c>
      <c r="U124" s="22">
        <v>0</v>
      </c>
      <c r="V124" s="22">
        <v>0</v>
      </c>
      <c r="W124" s="22">
        <v>0</v>
      </c>
      <c r="X124" s="22">
        <v>0</v>
      </c>
      <c r="Y124" s="22">
        <v>0</v>
      </c>
      <c r="Z124" s="22">
        <v>0</v>
      </c>
      <c r="AA124" s="22">
        <v>0</v>
      </c>
      <c r="AB124" s="22">
        <v>0</v>
      </c>
      <c r="AC124" s="22">
        <v>0</v>
      </c>
      <c r="AD124" s="22">
        <v>0</v>
      </c>
      <c r="AE124" s="22">
        <v>0</v>
      </c>
      <c r="AF124" s="22">
        <f t="shared" si="1"/>
        <v>0</v>
      </c>
      <c r="AG124" s="22">
        <v>0</v>
      </c>
      <c r="AH124" s="22">
        <v>0</v>
      </c>
      <c r="AI124" t="s">
        <v>562</v>
      </c>
      <c r="AJ124" t="s">
        <v>563</v>
      </c>
    </row>
    <row r="125" spans="1:36" ht="43.5" outlineLevel="2" x14ac:dyDescent="0.35">
      <c r="A125" s="19" t="s">
        <v>551</v>
      </c>
      <c r="B125" s="19" t="s">
        <v>599</v>
      </c>
      <c r="C125" s="19" t="s">
        <v>600</v>
      </c>
      <c r="D125" s="19">
        <v>2020</v>
      </c>
      <c r="E125" s="19" t="s">
        <v>554</v>
      </c>
      <c r="F125" s="19">
        <v>80091415</v>
      </c>
      <c r="G125" s="19" t="s">
        <v>1035</v>
      </c>
      <c r="H125" s="19" t="s">
        <v>1036</v>
      </c>
      <c r="I125" s="19" t="s">
        <v>31</v>
      </c>
      <c r="J125" s="20">
        <v>1</v>
      </c>
      <c r="K125" s="21">
        <v>44032</v>
      </c>
      <c r="L125" s="21">
        <v>44120</v>
      </c>
      <c r="M125" s="21">
        <v>44218</v>
      </c>
      <c r="N125" s="24" t="s">
        <v>2448</v>
      </c>
      <c r="O125" s="19" t="s">
        <v>557</v>
      </c>
      <c r="P125" s="19" t="s">
        <v>665</v>
      </c>
      <c r="Q125" s="19" t="s">
        <v>927</v>
      </c>
      <c r="R125" s="19" t="s">
        <v>928</v>
      </c>
      <c r="S125" s="19" t="s">
        <v>1037</v>
      </c>
      <c r="T125" t="s">
        <v>51</v>
      </c>
      <c r="U125" s="22">
        <v>0</v>
      </c>
      <c r="V125" s="22">
        <v>0</v>
      </c>
      <c r="W125" s="22">
        <v>0</v>
      </c>
      <c r="X125" s="22">
        <v>0</v>
      </c>
      <c r="Y125" s="22">
        <v>0</v>
      </c>
      <c r="Z125" s="22">
        <v>0</v>
      </c>
      <c r="AA125" s="22">
        <v>0</v>
      </c>
      <c r="AB125" s="22">
        <v>0</v>
      </c>
      <c r="AC125" s="22">
        <v>0</v>
      </c>
      <c r="AD125" s="22">
        <v>0</v>
      </c>
      <c r="AE125" s="22">
        <v>0</v>
      </c>
      <c r="AF125" s="22">
        <f t="shared" si="1"/>
        <v>0</v>
      </c>
      <c r="AG125" s="22">
        <v>0</v>
      </c>
      <c r="AH125" s="22">
        <v>0</v>
      </c>
      <c r="AI125" t="s">
        <v>562</v>
      </c>
      <c r="AJ125" t="s">
        <v>563</v>
      </c>
    </row>
    <row r="126" spans="1:36" ht="87" outlineLevel="2" x14ac:dyDescent="0.35">
      <c r="A126" s="19" t="s">
        <v>551</v>
      </c>
      <c r="B126" s="19" t="s">
        <v>945</v>
      </c>
      <c r="C126" s="19" t="s">
        <v>946</v>
      </c>
      <c r="D126" s="19">
        <v>2020</v>
      </c>
      <c r="E126" s="19" t="s">
        <v>554</v>
      </c>
      <c r="F126" s="19">
        <v>80091402</v>
      </c>
      <c r="G126" s="19" t="s">
        <v>1038</v>
      </c>
      <c r="H126" s="19" t="s">
        <v>1039</v>
      </c>
      <c r="I126" s="19" t="s">
        <v>31</v>
      </c>
      <c r="J126" s="20">
        <v>1</v>
      </c>
      <c r="K126" s="21">
        <v>44028</v>
      </c>
      <c r="L126" s="21">
        <v>44032</v>
      </c>
      <c r="M126" s="21">
        <v>44820</v>
      </c>
      <c r="N126" s="24" t="s">
        <v>2448</v>
      </c>
      <c r="O126" s="19" t="s">
        <v>557</v>
      </c>
      <c r="P126" s="19" t="s">
        <v>568</v>
      </c>
      <c r="Q126" s="19" t="s">
        <v>584</v>
      </c>
      <c r="R126" s="19" t="s">
        <v>689</v>
      </c>
      <c r="S126" s="19" t="s">
        <v>1040</v>
      </c>
      <c r="T126" t="s">
        <v>51</v>
      </c>
      <c r="U126" s="22">
        <v>10086.200000000001</v>
      </c>
      <c r="V126" s="22">
        <v>0</v>
      </c>
      <c r="W126" s="22">
        <v>11539.8</v>
      </c>
      <c r="X126" s="22">
        <v>0</v>
      </c>
      <c r="Y126" s="22">
        <v>585.27</v>
      </c>
      <c r="Z126" s="22">
        <v>0</v>
      </c>
      <c r="AA126" s="22">
        <v>0</v>
      </c>
      <c r="AB126" s="22">
        <v>-273.45</v>
      </c>
      <c r="AC126" s="22">
        <v>0</v>
      </c>
      <c r="AD126" s="22">
        <v>0</v>
      </c>
      <c r="AE126" s="22">
        <v>22211.27</v>
      </c>
      <c r="AF126" s="22">
        <f t="shared" si="1"/>
        <v>21937.82</v>
      </c>
      <c r="AG126" s="22">
        <v>0</v>
      </c>
      <c r="AH126" s="22">
        <v>21937.82</v>
      </c>
      <c r="AI126" t="s">
        <v>562</v>
      </c>
      <c r="AJ126" t="s">
        <v>563</v>
      </c>
    </row>
    <row r="127" spans="1:36" ht="43.5" outlineLevel="2" x14ac:dyDescent="0.35">
      <c r="A127" s="19" t="s">
        <v>551</v>
      </c>
      <c r="B127" s="19" t="s">
        <v>636</v>
      </c>
      <c r="C127" s="19" t="s">
        <v>594</v>
      </c>
      <c r="D127" s="19">
        <v>2020</v>
      </c>
      <c r="E127" s="19" t="s">
        <v>554</v>
      </c>
      <c r="F127" s="19">
        <v>80091373</v>
      </c>
      <c r="G127" s="19" t="s">
        <v>1041</v>
      </c>
      <c r="H127" s="19" t="s">
        <v>1042</v>
      </c>
      <c r="I127" s="19" t="s">
        <v>31</v>
      </c>
      <c r="J127" s="20">
        <v>1</v>
      </c>
      <c r="K127" s="21">
        <v>44027</v>
      </c>
      <c r="L127" s="21">
        <v>44028</v>
      </c>
      <c r="M127" s="21">
        <v>44376</v>
      </c>
      <c r="N127" s="24" t="s">
        <v>2448</v>
      </c>
      <c r="O127" s="19" t="s">
        <v>557</v>
      </c>
      <c r="P127" s="19" t="s">
        <v>665</v>
      </c>
      <c r="Q127" s="19" t="s">
        <v>569</v>
      </c>
      <c r="R127" s="19" t="s">
        <v>570</v>
      </c>
      <c r="S127" s="19" t="s">
        <v>1043</v>
      </c>
      <c r="T127" t="s">
        <v>33</v>
      </c>
      <c r="U127" s="22">
        <v>0</v>
      </c>
      <c r="V127" s="22">
        <v>0</v>
      </c>
      <c r="W127" s="22">
        <v>521.79</v>
      </c>
      <c r="X127" s="22">
        <v>0</v>
      </c>
      <c r="Y127" s="22">
        <v>44.73</v>
      </c>
      <c r="Z127" s="22">
        <v>0</v>
      </c>
      <c r="AA127" s="22">
        <v>0</v>
      </c>
      <c r="AB127" s="22">
        <v>0</v>
      </c>
      <c r="AC127" s="22">
        <v>0</v>
      </c>
      <c r="AD127" s="22">
        <v>0</v>
      </c>
      <c r="AE127" s="22">
        <v>566.52</v>
      </c>
      <c r="AF127" s="22">
        <f t="shared" si="1"/>
        <v>566.52</v>
      </c>
      <c r="AG127" s="22">
        <v>0</v>
      </c>
      <c r="AH127" s="22">
        <v>566.52</v>
      </c>
      <c r="AI127" t="s">
        <v>562</v>
      </c>
      <c r="AJ127" t="s">
        <v>563</v>
      </c>
    </row>
    <row r="128" spans="1:36" ht="43.5" outlineLevel="2" x14ac:dyDescent="0.35">
      <c r="A128" s="19" t="s">
        <v>551</v>
      </c>
      <c r="B128" s="19" t="s">
        <v>748</v>
      </c>
      <c r="C128" s="19" t="s">
        <v>749</v>
      </c>
      <c r="D128" s="19">
        <v>2020</v>
      </c>
      <c r="E128" s="19" t="s">
        <v>554</v>
      </c>
      <c r="F128" s="19">
        <v>80091395</v>
      </c>
      <c r="G128" s="19" t="s">
        <v>1044</v>
      </c>
      <c r="H128" s="19" t="s">
        <v>1045</v>
      </c>
      <c r="I128" s="19" t="s">
        <v>31</v>
      </c>
      <c r="J128" s="20">
        <v>1</v>
      </c>
      <c r="K128" s="21">
        <v>44026</v>
      </c>
      <c r="L128" s="21">
        <v>44029</v>
      </c>
      <c r="M128" s="21">
        <v>44078</v>
      </c>
      <c r="N128" s="24" t="s">
        <v>2448</v>
      </c>
      <c r="O128" s="19" t="s">
        <v>557</v>
      </c>
      <c r="P128" s="19" t="s">
        <v>568</v>
      </c>
      <c r="Q128" s="19" t="s">
        <v>655</v>
      </c>
      <c r="R128" s="19" t="s">
        <v>616</v>
      </c>
      <c r="S128" s="19" t="s">
        <v>1046</v>
      </c>
      <c r="T128" t="s">
        <v>121</v>
      </c>
      <c r="U128" s="22">
        <v>0</v>
      </c>
      <c r="V128" s="22">
        <v>0</v>
      </c>
      <c r="W128" s="22">
        <v>153.85</v>
      </c>
      <c r="X128" s="22">
        <v>0</v>
      </c>
      <c r="Y128" s="22">
        <v>27.63</v>
      </c>
      <c r="Z128" s="22">
        <v>0</v>
      </c>
      <c r="AA128" s="22">
        <v>0</v>
      </c>
      <c r="AB128" s="22">
        <v>0</v>
      </c>
      <c r="AC128" s="22">
        <v>0</v>
      </c>
      <c r="AD128" s="22">
        <v>0</v>
      </c>
      <c r="AE128" s="22">
        <v>181.48</v>
      </c>
      <c r="AF128" s="22">
        <f t="shared" si="1"/>
        <v>181.48</v>
      </c>
      <c r="AG128" s="22">
        <v>0</v>
      </c>
      <c r="AH128" s="22">
        <v>181.48</v>
      </c>
      <c r="AI128" t="s">
        <v>562</v>
      </c>
      <c r="AJ128" t="s">
        <v>563</v>
      </c>
    </row>
    <row r="129" spans="1:36" ht="43.5" outlineLevel="2" x14ac:dyDescent="0.35">
      <c r="A129" s="19" t="s">
        <v>551</v>
      </c>
      <c r="B129" s="19" t="s">
        <v>605</v>
      </c>
      <c r="C129" s="19" t="s">
        <v>606</v>
      </c>
      <c r="D129" s="19">
        <v>2020</v>
      </c>
      <c r="E129" s="19" t="s">
        <v>554</v>
      </c>
      <c r="F129" s="19">
        <v>80091384</v>
      </c>
      <c r="G129" s="19" t="s">
        <v>1047</v>
      </c>
      <c r="H129" s="19" t="s">
        <v>1048</v>
      </c>
      <c r="I129" s="19" t="s">
        <v>31</v>
      </c>
      <c r="J129" s="20">
        <v>1</v>
      </c>
      <c r="K129" s="21">
        <v>44025</v>
      </c>
      <c r="L129" s="21">
        <v>44028</v>
      </c>
      <c r="M129" s="21">
        <v>44120</v>
      </c>
      <c r="N129" s="24" t="s">
        <v>2448</v>
      </c>
      <c r="O129" s="19" t="s">
        <v>557</v>
      </c>
      <c r="P129" s="19" t="s">
        <v>568</v>
      </c>
      <c r="Q129" s="19" t="s">
        <v>655</v>
      </c>
      <c r="R129" s="19" t="s">
        <v>578</v>
      </c>
      <c r="S129" s="19" t="s">
        <v>1049</v>
      </c>
      <c r="T129" t="s">
        <v>69</v>
      </c>
      <c r="U129" s="22">
        <v>0</v>
      </c>
      <c r="V129" s="22">
        <v>0</v>
      </c>
      <c r="W129" s="22">
        <v>737.95</v>
      </c>
      <c r="X129" s="22">
        <v>0</v>
      </c>
      <c r="Y129" s="22">
        <v>119.06</v>
      </c>
      <c r="Z129" s="22">
        <v>0</v>
      </c>
      <c r="AA129" s="22">
        <v>0</v>
      </c>
      <c r="AB129" s="22">
        <v>-45.24</v>
      </c>
      <c r="AC129" s="22">
        <v>0</v>
      </c>
      <c r="AD129" s="22">
        <v>0</v>
      </c>
      <c r="AE129" s="22">
        <v>857.01</v>
      </c>
      <c r="AF129" s="22">
        <f t="shared" si="1"/>
        <v>811.77</v>
      </c>
      <c r="AG129" s="22">
        <v>0</v>
      </c>
      <c r="AH129" s="22">
        <v>811.77</v>
      </c>
      <c r="AI129" t="s">
        <v>562</v>
      </c>
      <c r="AJ129" t="s">
        <v>563</v>
      </c>
    </row>
    <row r="130" spans="1:36" ht="72.5" outlineLevel="2" x14ac:dyDescent="0.35">
      <c r="A130" s="19" t="s">
        <v>551</v>
      </c>
      <c r="B130" s="19" t="s">
        <v>945</v>
      </c>
      <c r="C130" s="19" t="s">
        <v>946</v>
      </c>
      <c r="D130" s="19">
        <v>2020</v>
      </c>
      <c r="E130" s="19" t="s">
        <v>554</v>
      </c>
      <c r="F130" s="19">
        <v>80091416</v>
      </c>
      <c r="G130" s="19" t="s">
        <v>1050</v>
      </c>
      <c r="H130" s="19" t="s">
        <v>1051</v>
      </c>
      <c r="I130" s="19" t="s">
        <v>31</v>
      </c>
      <c r="J130" s="20">
        <v>1</v>
      </c>
      <c r="K130" s="21">
        <v>44013</v>
      </c>
      <c r="L130" s="21">
        <v>44061</v>
      </c>
      <c r="M130" s="21">
        <v>44063</v>
      </c>
      <c r="N130" s="24" t="s">
        <v>2448</v>
      </c>
      <c r="O130" s="19" t="s">
        <v>557</v>
      </c>
      <c r="P130" s="19" t="s">
        <v>665</v>
      </c>
      <c r="Q130" s="19" t="s">
        <v>569</v>
      </c>
      <c r="R130" s="19" t="s">
        <v>570</v>
      </c>
      <c r="S130" s="19" t="s">
        <v>1052</v>
      </c>
      <c r="T130" t="s">
        <v>51</v>
      </c>
      <c r="U130" s="22">
        <v>0</v>
      </c>
      <c r="V130" s="22">
        <v>0</v>
      </c>
      <c r="W130" s="22">
        <v>608.65</v>
      </c>
      <c r="X130" s="22">
        <v>0</v>
      </c>
      <c r="Y130" s="22">
        <v>57.47</v>
      </c>
      <c r="Z130" s="22">
        <v>0</v>
      </c>
      <c r="AA130" s="22">
        <v>0</v>
      </c>
      <c r="AB130" s="22">
        <v>0</v>
      </c>
      <c r="AC130" s="22">
        <v>0</v>
      </c>
      <c r="AD130" s="22">
        <v>0</v>
      </c>
      <c r="AE130" s="22">
        <v>666.12</v>
      </c>
      <c r="AF130" s="22">
        <f t="shared" si="1"/>
        <v>666.12</v>
      </c>
      <c r="AG130" s="22">
        <v>0</v>
      </c>
      <c r="AH130" s="22">
        <v>666.12</v>
      </c>
      <c r="AI130" t="s">
        <v>562</v>
      </c>
      <c r="AJ130" t="s">
        <v>563</v>
      </c>
    </row>
    <row r="131" spans="1:36" ht="29" outlineLevel="2" x14ac:dyDescent="0.35">
      <c r="A131" s="19" t="s">
        <v>551</v>
      </c>
      <c r="D131" s="19">
        <v>2020</v>
      </c>
      <c r="E131" s="19" t="s">
        <v>834</v>
      </c>
      <c r="F131" s="19" t="s">
        <v>835</v>
      </c>
      <c r="K131" s="21"/>
      <c r="L131" s="21"/>
      <c r="N131" s="24" t="s">
        <v>2448</v>
      </c>
      <c r="U131" s="22">
        <v>0</v>
      </c>
      <c r="V131" s="22">
        <v>0</v>
      </c>
      <c r="W131" s="22">
        <v>0</v>
      </c>
      <c r="X131" s="22">
        <v>0</v>
      </c>
      <c r="Y131" s="22">
        <v>0</v>
      </c>
      <c r="Z131" s="22">
        <v>0</v>
      </c>
      <c r="AA131" s="22">
        <v>0</v>
      </c>
      <c r="AB131" s="22">
        <v>0</v>
      </c>
      <c r="AC131" s="22">
        <v>0</v>
      </c>
      <c r="AD131" s="22">
        <v>0</v>
      </c>
      <c r="AE131" s="22">
        <v>0</v>
      </c>
      <c r="AF131" s="22">
        <f t="shared" ref="AF131:AF194" si="2">AE131+AA131+AB131+AC131</f>
        <v>0</v>
      </c>
      <c r="AG131" s="22">
        <v>0</v>
      </c>
      <c r="AH131" s="22">
        <v>0</v>
      </c>
      <c r="AI131" t="s">
        <v>562</v>
      </c>
      <c r="AJ131" t="s">
        <v>563</v>
      </c>
    </row>
    <row r="132" spans="1:36" ht="43.5" outlineLevel="2" x14ac:dyDescent="0.35">
      <c r="A132" s="19" t="s">
        <v>551</v>
      </c>
      <c r="B132" s="19" t="s">
        <v>740</v>
      </c>
      <c r="C132" s="19" t="s">
        <v>741</v>
      </c>
      <c r="D132" s="19">
        <v>2019</v>
      </c>
      <c r="E132" s="19" t="s">
        <v>554</v>
      </c>
      <c r="F132" s="19">
        <v>80091378</v>
      </c>
      <c r="G132" s="19" t="s">
        <v>1053</v>
      </c>
      <c r="H132" s="19" t="s">
        <v>1054</v>
      </c>
      <c r="I132" s="19" t="s">
        <v>31</v>
      </c>
      <c r="J132" s="20">
        <v>1</v>
      </c>
      <c r="K132" s="21">
        <v>44011</v>
      </c>
      <c r="L132" s="21">
        <v>44011</v>
      </c>
      <c r="M132" s="21">
        <v>44771</v>
      </c>
      <c r="N132" s="24" t="s">
        <v>2448</v>
      </c>
      <c r="O132" s="19" t="s">
        <v>603</v>
      </c>
      <c r="Q132" s="19" t="s">
        <v>782</v>
      </c>
      <c r="R132" s="19" t="s">
        <v>591</v>
      </c>
      <c r="S132" s="19" t="s">
        <v>1055</v>
      </c>
      <c r="T132" t="s">
        <v>45</v>
      </c>
      <c r="U132" s="22">
        <v>0</v>
      </c>
      <c r="V132" s="22">
        <v>0</v>
      </c>
      <c r="W132" s="22">
        <v>199.11</v>
      </c>
      <c r="X132" s="22">
        <v>0</v>
      </c>
      <c r="Y132" s="22">
        <v>74.510000000000005</v>
      </c>
      <c r="Z132" s="22">
        <v>0</v>
      </c>
      <c r="AA132" s="22">
        <v>-199.11</v>
      </c>
      <c r="AB132" s="22">
        <v>0</v>
      </c>
      <c r="AC132" s="22">
        <v>0</v>
      </c>
      <c r="AD132" s="22">
        <v>0</v>
      </c>
      <c r="AE132" s="22">
        <v>273.62</v>
      </c>
      <c r="AF132" s="22">
        <f t="shared" si="2"/>
        <v>74.509999999999991</v>
      </c>
      <c r="AG132" s="22">
        <v>0</v>
      </c>
      <c r="AH132" s="22">
        <v>74.510000000000005</v>
      </c>
      <c r="AI132" t="s">
        <v>562</v>
      </c>
      <c r="AJ132" t="s">
        <v>563</v>
      </c>
    </row>
    <row r="133" spans="1:36" ht="43.5" outlineLevel="2" x14ac:dyDescent="0.35">
      <c r="A133" s="19" t="s">
        <v>551</v>
      </c>
      <c r="B133" s="19" t="s">
        <v>658</v>
      </c>
      <c r="C133" s="19" t="s">
        <v>643</v>
      </c>
      <c r="D133" s="19">
        <v>2019</v>
      </c>
      <c r="E133" s="19" t="s">
        <v>554</v>
      </c>
      <c r="F133" s="19">
        <v>80091391</v>
      </c>
      <c r="G133" s="19" t="s">
        <v>1056</v>
      </c>
      <c r="H133" s="19" t="s">
        <v>1057</v>
      </c>
      <c r="I133" s="19" t="s">
        <v>31</v>
      </c>
      <c r="J133" s="20">
        <v>1</v>
      </c>
      <c r="K133" s="21">
        <v>44010</v>
      </c>
      <c r="L133" s="21">
        <v>44027</v>
      </c>
      <c r="M133" s="21">
        <v>44263</v>
      </c>
      <c r="N133" s="24" t="s">
        <v>2448</v>
      </c>
      <c r="O133" s="19" t="s">
        <v>557</v>
      </c>
      <c r="P133" s="19" t="s">
        <v>568</v>
      </c>
      <c r="Q133" s="19" t="s">
        <v>569</v>
      </c>
      <c r="R133" s="19" t="s">
        <v>570</v>
      </c>
      <c r="S133" s="19" t="s">
        <v>1058</v>
      </c>
      <c r="T133" t="s">
        <v>62</v>
      </c>
      <c r="U133" s="22">
        <v>304.47000000000003</v>
      </c>
      <c r="V133" s="22">
        <v>0</v>
      </c>
      <c r="W133" s="22">
        <v>1593.74</v>
      </c>
      <c r="X133" s="22">
        <v>0</v>
      </c>
      <c r="Y133" s="22">
        <v>167.55</v>
      </c>
      <c r="Z133" s="22">
        <v>0</v>
      </c>
      <c r="AA133" s="22">
        <v>0</v>
      </c>
      <c r="AB133" s="22">
        <v>-35.770000000000003</v>
      </c>
      <c r="AC133" s="22">
        <v>0</v>
      </c>
      <c r="AD133" s="22">
        <v>0</v>
      </c>
      <c r="AE133" s="22">
        <v>2065.7600000000002</v>
      </c>
      <c r="AF133" s="22">
        <f t="shared" si="2"/>
        <v>2029.9900000000002</v>
      </c>
      <c r="AG133" s="22">
        <v>0</v>
      </c>
      <c r="AH133" s="22">
        <v>2029.99</v>
      </c>
      <c r="AI133" t="s">
        <v>562</v>
      </c>
      <c r="AJ133" t="s">
        <v>563</v>
      </c>
    </row>
    <row r="134" spans="1:36" ht="101.5" outlineLevel="2" x14ac:dyDescent="0.35">
      <c r="A134" s="19" t="s">
        <v>551</v>
      </c>
      <c r="B134" s="19" t="s">
        <v>697</v>
      </c>
      <c r="C134" s="19" t="s">
        <v>698</v>
      </c>
      <c r="D134" s="19">
        <v>2019</v>
      </c>
      <c r="E134" s="19" t="s">
        <v>554</v>
      </c>
      <c r="F134" s="19">
        <v>80091372</v>
      </c>
      <c r="G134" s="19" t="s">
        <v>1059</v>
      </c>
      <c r="H134" s="19" t="s">
        <v>1060</v>
      </c>
      <c r="I134" s="19" t="s">
        <v>31</v>
      </c>
      <c r="J134" s="20">
        <v>1</v>
      </c>
      <c r="K134" s="21">
        <v>44004</v>
      </c>
      <c r="L134" s="21">
        <v>44006</v>
      </c>
      <c r="M134" s="21">
        <v>44291</v>
      </c>
      <c r="N134" s="24" t="s">
        <v>2448</v>
      </c>
      <c r="O134" s="19" t="s">
        <v>557</v>
      </c>
      <c r="P134" s="19" t="s">
        <v>568</v>
      </c>
      <c r="Q134" s="19" t="s">
        <v>704</v>
      </c>
      <c r="R134" s="19" t="s">
        <v>578</v>
      </c>
      <c r="S134" s="19" t="s">
        <v>1061</v>
      </c>
      <c r="T134" t="s">
        <v>69</v>
      </c>
      <c r="U134" s="22">
        <v>0</v>
      </c>
      <c r="V134" s="22">
        <v>0</v>
      </c>
      <c r="W134" s="22">
        <v>229.29</v>
      </c>
      <c r="X134" s="22">
        <v>0</v>
      </c>
      <c r="Y134" s="22">
        <v>98.16</v>
      </c>
      <c r="Z134" s="22">
        <v>0</v>
      </c>
      <c r="AA134" s="22">
        <v>0</v>
      </c>
      <c r="AB134" s="22">
        <v>-47.95</v>
      </c>
      <c r="AC134" s="22">
        <v>0</v>
      </c>
      <c r="AD134" s="22">
        <v>0</v>
      </c>
      <c r="AE134" s="22">
        <v>327.45</v>
      </c>
      <c r="AF134" s="22">
        <f t="shared" si="2"/>
        <v>279.5</v>
      </c>
      <c r="AG134" s="22">
        <v>0</v>
      </c>
      <c r="AH134" s="22">
        <v>279.5</v>
      </c>
      <c r="AI134" t="s">
        <v>562</v>
      </c>
      <c r="AJ134" t="s">
        <v>563</v>
      </c>
    </row>
    <row r="135" spans="1:36" ht="58" outlineLevel="2" x14ac:dyDescent="0.35">
      <c r="A135" s="19" t="s">
        <v>551</v>
      </c>
      <c r="B135" s="19" t="s">
        <v>986</v>
      </c>
      <c r="C135" s="19" t="s">
        <v>553</v>
      </c>
      <c r="D135" s="19">
        <v>2019</v>
      </c>
      <c r="E135" s="19" t="s">
        <v>554</v>
      </c>
      <c r="F135" s="19">
        <v>80091369</v>
      </c>
      <c r="G135" s="19" t="s">
        <v>1062</v>
      </c>
      <c r="H135" s="19" t="s">
        <v>1063</v>
      </c>
      <c r="I135" s="19" t="s">
        <v>31</v>
      </c>
      <c r="J135" s="20">
        <v>1</v>
      </c>
      <c r="K135" s="21">
        <v>44000</v>
      </c>
      <c r="L135" s="21">
        <v>44004</v>
      </c>
      <c r="M135" s="21">
        <v>44063</v>
      </c>
      <c r="N135" s="24" t="s">
        <v>2448</v>
      </c>
      <c r="O135" s="19" t="s">
        <v>557</v>
      </c>
      <c r="P135" s="19" t="s">
        <v>568</v>
      </c>
      <c r="Q135" s="19" t="s">
        <v>569</v>
      </c>
      <c r="R135" s="19" t="s">
        <v>570</v>
      </c>
      <c r="S135" s="19" t="s">
        <v>1064</v>
      </c>
      <c r="T135" t="s">
        <v>169</v>
      </c>
      <c r="U135" s="22">
        <v>0</v>
      </c>
      <c r="V135" s="22">
        <v>0</v>
      </c>
      <c r="W135" s="22">
        <v>250</v>
      </c>
      <c r="X135" s="22">
        <v>0</v>
      </c>
      <c r="Y135" s="22">
        <v>31.43</v>
      </c>
      <c r="Z135" s="22">
        <v>0</v>
      </c>
      <c r="AA135" s="22">
        <v>0</v>
      </c>
      <c r="AB135" s="22">
        <v>0</v>
      </c>
      <c r="AC135" s="22">
        <v>0</v>
      </c>
      <c r="AD135" s="22">
        <v>0</v>
      </c>
      <c r="AE135" s="22">
        <v>281.43</v>
      </c>
      <c r="AF135" s="22">
        <f t="shared" si="2"/>
        <v>281.43</v>
      </c>
      <c r="AG135" s="22">
        <v>0</v>
      </c>
      <c r="AH135" s="22">
        <v>281.43</v>
      </c>
      <c r="AI135" t="s">
        <v>562</v>
      </c>
      <c r="AJ135" t="s">
        <v>563</v>
      </c>
    </row>
    <row r="136" spans="1:36" ht="43.5" outlineLevel="2" x14ac:dyDescent="0.35">
      <c r="A136" s="19" t="s">
        <v>551</v>
      </c>
      <c r="B136" s="19" t="s">
        <v>636</v>
      </c>
      <c r="C136" s="19" t="s">
        <v>594</v>
      </c>
      <c r="D136" s="19">
        <v>2019</v>
      </c>
      <c r="E136" s="19" t="s">
        <v>554</v>
      </c>
      <c r="F136" s="19">
        <v>80091367</v>
      </c>
      <c r="G136" s="19" t="s">
        <v>1065</v>
      </c>
      <c r="H136" s="19" t="s">
        <v>1066</v>
      </c>
      <c r="I136" s="19" t="s">
        <v>31</v>
      </c>
      <c r="J136" s="20">
        <v>1</v>
      </c>
      <c r="K136" s="21">
        <v>43997</v>
      </c>
      <c r="L136" s="21">
        <v>44004</v>
      </c>
      <c r="M136" s="21">
        <v>44307</v>
      </c>
      <c r="N136" s="24" t="s">
        <v>2448</v>
      </c>
      <c r="O136" s="19" t="s">
        <v>557</v>
      </c>
      <c r="P136" s="19" t="s">
        <v>609</v>
      </c>
      <c r="Q136" s="19" t="s">
        <v>704</v>
      </c>
      <c r="R136" s="19" t="s">
        <v>616</v>
      </c>
      <c r="S136" s="19" t="s">
        <v>1067</v>
      </c>
      <c r="T136" t="s">
        <v>33</v>
      </c>
      <c r="U136" s="22">
        <v>0</v>
      </c>
      <c r="V136" s="22">
        <v>0</v>
      </c>
      <c r="W136" s="22">
        <v>50.42</v>
      </c>
      <c r="X136" s="22">
        <v>0</v>
      </c>
      <c r="Y136" s="22">
        <v>39.57</v>
      </c>
      <c r="Z136" s="22">
        <v>0</v>
      </c>
      <c r="AA136" s="22">
        <v>0</v>
      </c>
      <c r="AB136" s="22">
        <v>0</v>
      </c>
      <c r="AC136" s="22">
        <v>0</v>
      </c>
      <c r="AD136" s="22">
        <v>0</v>
      </c>
      <c r="AE136" s="22">
        <v>89.99</v>
      </c>
      <c r="AF136" s="22">
        <f t="shared" si="2"/>
        <v>89.99</v>
      </c>
      <c r="AG136" s="22">
        <v>0</v>
      </c>
      <c r="AH136" s="22">
        <v>89.99</v>
      </c>
      <c r="AI136" t="s">
        <v>562</v>
      </c>
      <c r="AJ136" t="s">
        <v>563</v>
      </c>
    </row>
    <row r="137" spans="1:36" ht="58" outlineLevel="2" x14ac:dyDescent="0.35">
      <c r="A137" s="19" t="s">
        <v>551</v>
      </c>
      <c r="B137" s="19" t="s">
        <v>996</v>
      </c>
      <c r="C137" s="19" t="s">
        <v>997</v>
      </c>
      <c r="D137" s="19">
        <v>2019</v>
      </c>
      <c r="E137" s="19" t="s">
        <v>554</v>
      </c>
      <c r="F137" s="19">
        <v>80091376</v>
      </c>
      <c r="G137" s="19" t="s">
        <v>1068</v>
      </c>
      <c r="H137" s="19" t="s">
        <v>1069</v>
      </c>
      <c r="I137" s="19" t="s">
        <v>31</v>
      </c>
      <c r="J137" s="20">
        <v>1</v>
      </c>
      <c r="K137" s="21">
        <v>43965</v>
      </c>
      <c r="L137" s="21">
        <v>43971</v>
      </c>
      <c r="M137" s="21">
        <v>44291</v>
      </c>
      <c r="N137" s="24" t="s">
        <v>2448</v>
      </c>
      <c r="O137" s="19" t="s">
        <v>557</v>
      </c>
      <c r="P137" s="19" t="s">
        <v>665</v>
      </c>
      <c r="Q137" s="19" t="s">
        <v>569</v>
      </c>
      <c r="R137" s="19" t="s">
        <v>570</v>
      </c>
      <c r="S137" s="19" t="s">
        <v>1070</v>
      </c>
      <c r="T137" t="s">
        <v>51</v>
      </c>
      <c r="U137" s="22">
        <v>0</v>
      </c>
      <c r="V137" s="22">
        <v>0</v>
      </c>
      <c r="W137" s="22">
        <v>1364.02</v>
      </c>
      <c r="X137" s="22">
        <v>0</v>
      </c>
      <c r="Y137" s="22">
        <v>107.23</v>
      </c>
      <c r="Z137" s="22">
        <v>0</v>
      </c>
      <c r="AA137" s="22">
        <v>0</v>
      </c>
      <c r="AB137" s="22">
        <v>0</v>
      </c>
      <c r="AC137" s="22">
        <v>0</v>
      </c>
      <c r="AD137" s="22">
        <v>0</v>
      </c>
      <c r="AE137" s="22">
        <v>1471.25</v>
      </c>
      <c r="AF137" s="22">
        <f t="shared" si="2"/>
        <v>1471.25</v>
      </c>
      <c r="AG137" s="22">
        <v>0</v>
      </c>
      <c r="AH137" s="22">
        <v>1471.25</v>
      </c>
      <c r="AI137" t="s">
        <v>562</v>
      </c>
      <c r="AJ137" t="s">
        <v>563</v>
      </c>
    </row>
    <row r="138" spans="1:36" ht="58" outlineLevel="2" x14ac:dyDescent="0.35">
      <c r="A138" s="19" t="s">
        <v>551</v>
      </c>
      <c r="B138" s="19" t="s">
        <v>945</v>
      </c>
      <c r="C138" s="19" t="s">
        <v>946</v>
      </c>
      <c r="D138" s="19">
        <v>2019</v>
      </c>
      <c r="E138" s="19" t="s">
        <v>554</v>
      </c>
      <c r="F138" s="19">
        <v>80091400</v>
      </c>
      <c r="G138" s="19" t="s">
        <v>1071</v>
      </c>
      <c r="H138" s="19" t="s">
        <v>1072</v>
      </c>
      <c r="I138" s="19" t="s">
        <v>31</v>
      </c>
      <c r="J138" s="20">
        <v>1</v>
      </c>
      <c r="K138" s="21">
        <v>43936</v>
      </c>
      <c r="L138" s="21">
        <v>44132</v>
      </c>
      <c r="M138" s="21">
        <v>44291</v>
      </c>
      <c r="N138" s="24" t="s">
        <v>2448</v>
      </c>
      <c r="O138" s="19" t="s">
        <v>557</v>
      </c>
      <c r="P138" s="19" t="s">
        <v>665</v>
      </c>
      <c r="Q138" s="19" t="s">
        <v>569</v>
      </c>
      <c r="R138" s="19" t="s">
        <v>570</v>
      </c>
      <c r="S138" s="19" t="s">
        <v>1073</v>
      </c>
      <c r="T138" t="s">
        <v>51</v>
      </c>
      <c r="U138" s="22">
        <v>0</v>
      </c>
      <c r="V138" s="22">
        <v>0</v>
      </c>
      <c r="W138" s="22">
        <v>0</v>
      </c>
      <c r="X138" s="22">
        <v>0</v>
      </c>
      <c r="Y138" s="22">
        <v>0</v>
      </c>
      <c r="Z138" s="22">
        <v>0</v>
      </c>
      <c r="AA138" s="22">
        <v>0</v>
      </c>
      <c r="AB138" s="22">
        <v>0</v>
      </c>
      <c r="AC138" s="22">
        <v>0</v>
      </c>
      <c r="AD138" s="22">
        <v>0</v>
      </c>
      <c r="AE138" s="22">
        <v>0</v>
      </c>
      <c r="AF138" s="22">
        <f t="shared" si="2"/>
        <v>0</v>
      </c>
      <c r="AG138" s="22">
        <v>0</v>
      </c>
      <c r="AH138" s="22">
        <v>0</v>
      </c>
      <c r="AI138" t="s">
        <v>562</v>
      </c>
      <c r="AJ138" t="s">
        <v>563</v>
      </c>
    </row>
    <row r="139" spans="1:36" ht="58" outlineLevel="2" x14ac:dyDescent="0.35">
      <c r="A139" s="19" t="s">
        <v>551</v>
      </c>
      <c r="B139" s="19" t="s">
        <v>748</v>
      </c>
      <c r="C139" s="19" t="s">
        <v>749</v>
      </c>
      <c r="D139" s="19">
        <v>2019</v>
      </c>
      <c r="E139" s="19" t="s">
        <v>554</v>
      </c>
      <c r="F139" s="19">
        <v>80091362</v>
      </c>
      <c r="G139" s="19" t="s">
        <v>1074</v>
      </c>
      <c r="H139" s="19" t="s">
        <v>1075</v>
      </c>
      <c r="I139" s="19" t="s">
        <v>31</v>
      </c>
      <c r="J139" s="20">
        <v>1</v>
      </c>
      <c r="K139" s="21">
        <v>43916</v>
      </c>
      <c r="L139" s="21">
        <v>43917</v>
      </c>
      <c r="M139" s="21">
        <v>44288</v>
      </c>
      <c r="N139" s="24" t="s">
        <v>2448</v>
      </c>
      <c r="O139" s="19" t="s">
        <v>557</v>
      </c>
      <c r="P139" s="19" t="s">
        <v>665</v>
      </c>
      <c r="Q139" s="19" t="s">
        <v>597</v>
      </c>
      <c r="R139" s="19" t="s">
        <v>570</v>
      </c>
      <c r="S139" s="19" t="s">
        <v>1076</v>
      </c>
      <c r="T139" t="s">
        <v>121</v>
      </c>
      <c r="U139" s="22">
        <v>0</v>
      </c>
      <c r="V139" s="22">
        <v>0</v>
      </c>
      <c r="W139" s="22">
        <v>0</v>
      </c>
      <c r="X139" s="22">
        <v>0</v>
      </c>
      <c r="Y139" s="22">
        <v>0</v>
      </c>
      <c r="Z139" s="22">
        <v>0</v>
      </c>
      <c r="AA139" s="22">
        <v>0</v>
      </c>
      <c r="AB139" s="22">
        <v>0</v>
      </c>
      <c r="AC139" s="22">
        <v>0</v>
      </c>
      <c r="AD139" s="22">
        <v>0</v>
      </c>
      <c r="AE139" s="22">
        <v>0</v>
      </c>
      <c r="AF139" s="22">
        <f t="shared" si="2"/>
        <v>0</v>
      </c>
      <c r="AG139" s="22">
        <v>0</v>
      </c>
      <c r="AH139" s="22">
        <v>0</v>
      </c>
      <c r="AI139" t="s">
        <v>562</v>
      </c>
      <c r="AJ139" t="s">
        <v>563</v>
      </c>
    </row>
    <row r="140" spans="1:36" ht="58" outlineLevel="2" x14ac:dyDescent="0.35">
      <c r="A140" s="19" t="s">
        <v>551</v>
      </c>
      <c r="B140" s="19" t="s">
        <v>996</v>
      </c>
      <c r="C140" s="19" t="s">
        <v>997</v>
      </c>
      <c r="D140" s="19">
        <v>2019</v>
      </c>
      <c r="E140" s="19" t="s">
        <v>554</v>
      </c>
      <c r="F140" s="19">
        <v>80082979</v>
      </c>
      <c r="G140" s="19" t="s">
        <v>1077</v>
      </c>
      <c r="H140" s="19" t="s">
        <v>1078</v>
      </c>
      <c r="I140" s="19" t="s">
        <v>687</v>
      </c>
      <c r="J140" s="20">
        <v>1</v>
      </c>
      <c r="K140" s="21">
        <v>43910</v>
      </c>
      <c r="L140" s="21">
        <v>43964</v>
      </c>
      <c r="N140" s="24" t="s">
        <v>2448</v>
      </c>
      <c r="O140" s="19" t="s">
        <v>557</v>
      </c>
      <c r="P140" s="19" t="s">
        <v>558</v>
      </c>
      <c r="Q140" s="19" t="s">
        <v>569</v>
      </c>
      <c r="R140" s="19" t="s">
        <v>650</v>
      </c>
      <c r="S140" s="19" t="s">
        <v>1079</v>
      </c>
      <c r="T140" t="s">
        <v>51</v>
      </c>
      <c r="U140" s="22">
        <v>0</v>
      </c>
      <c r="V140" s="22">
        <v>27895</v>
      </c>
      <c r="W140" s="22">
        <v>81697.820000000007</v>
      </c>
      <c r="X140" s="22">
        <v>33924.21</v>
      </c>
      <c r="Y140" s="22">
        <v>31800.04</v>
      </c>
      <c r="Z140" s="22">
        <v>21051.9</v>
      </c>
      <c r="AA140" s="22">
        <v>0</v>
      </c>
      <c r="AB140" s="22">
        <v>-22068.97</v>
      </c>
      <c r="AC140" s="22">
        <v>0</v>
      </c>
      <c r="AD140" s="22">
        <v>12375.49</v>
      </c>
      <c r="AE140" s="22">
        <v>113497.86</v>
      </c>
      <c r="AF140" s="22">
        <f t="shared" si="2"/>
        <v>91428.89</v>
      </c>
      <c r="AG140" s="22">
        <v>82871.11</v>
      </c>
      <c r="AH140" s="22">
        <v>174300</v>
      </c>
      <c r="AI140" t="s">
        <v>562</v>
      </c>
      <c r="AJ140" t="s">
        <v>563</v>
      </c>
    </row>
    <row r="141" spans="1:36" ht="72.5" outlineLevel="2" x14ac:dyDescent="0.35">
      <c r="A141" s="19" t="s">
        <v>551</v>
      </c>
      <c r="B141" s="19" t="s">
        <v>885</v>
      </c>
      <c r="C141" s="19" t="s">
        <v>749</v>
      </c>
      <c r="D141" s="19">
        <v>2019</v>
      </c>
      <c r="E141" s="19" t="s">
        <v>554</v>
      </c>
      <c r="F141" s="19">
        <v>80091405</v>
      </c>
      <c r="G141" s="19" t="s">
        <v>1080</v>
      </c>
      <c r="H141" s="19" t="s">
        <v>1081</v>
      </c>
      <c r="I141" s="19" t="s">
        <v>31</v>
      </c>
      <c r="J141" s="20">
        <v>1</v>
      </c>
      <c r="K141" s="21">
        <v>43909</v>
      </c>
      <c r="L141" s="21">
        <v>43916</v>
      </c>
      <c r="M141" s="21">
        <v>44340</v>
      </c>
      <c r="N141" s="24" t="s">
        <v>2448</v>
      </c>
      <c r="O141" s="19" t="s">
        <v>557</v>
      </c>
      <c r="Q141" s="19" t="s">
        <v>661</v>
      </c>
      <c r="R141" s="19" t="s">
        <v>570</v>
      </c>
      <c r="S141" s="19" t="s">
        <v>1082</v>
      </c>
      <c r="T141" t="s">
        <v>98</v>
      </c>
      <c r="U141" s="22">
        <v>0</v>
      </c>
      <c r="V141" s="22">
        <v>0</v>
      </c>
      <c r="W141" s="22">
        <v>439.44</v>
      </c>
      <c r="X141" s="22">
        <v>0</v>
      </c>
      <c r="Y141" s="22">
        <v>46</v>
      </c>
      <c r="Z141" s="22">
        <v>0</v>
      </c>
      <c r="AA141" s="22">
        <v>0</v>
      </c>
      <c r="AB141" s="22">
        <v>0</v>
      </c>
      <c r="AC141" s="22">
        <v>0</v>
      </c>
      <c r="AD141" s="22">
        <v>0</v>
      </c>
      <c r="AE141" s="22">
        <v>485.44</v>
      </c>
      <c r="AF141" s="22">
        <f t="shared" si="2"/>
        <v>485.44</v>
      </c>
      <c r="AG141" s="22">
        <v>0</v>
      </c>
      <c r="AH141" s="22">
        <v>485.44</v>
      </c>
      <c r="AI141" t="s">
        <v>562</v>
      </c>
      <c r="AJ141" t="s">
        <v>563</v>
      </c>
    </row>
    <row r="142" spans="1:36" ht="58" outlineLevel="2" x14ac:dyDescent="0.35">
      <c r="A142" s="19" t="s">
        <v>551</v>
      </c>
      <c r="B142" s="19" t="s">
        <v>1083</v>
      </c>
      <c r="C142" s="19" t="s">
        <v>741</v>
      </c>
      <c r="D142" s="19">
        <v>2019</v>
      </c>
      <c r="E142" s="19" t="s">
        <v>554</v>
      </c>
      <c r="F142" s="19">
        <v>80091393</v>
      </c>
      <c r="G142" s="19" t="s">
        <v>1084</v>
      </c>
      <c r="H142" s="19" t="s">
        <v>1085</v>
      </c>
      <c r="I142" s="19" t="s">
        <v>31</v>
      </c>
      <c r="J142" s="20">
        <v>1</v>
      </c>
      <c r="K142" s="21">
        <v>43908</v>
      </c>
      <c r="L142" s="21">
        <v>43910</v>
      </c>
      <c r="M142" s="21">
        <v>44788</v>
      </c>
      <c r="N142" s="24" t="s">
        <v>2448</v>
      </c>
      <c r="O142" s="19" t="s">
        <v>557</v>
      </c>
      <c r="P142" s="19" t="s">
        <v>568</v>
      </c>
      <c r="Q142" s="19" t="s">
        <v>683</v>
      </c>
      <c r="R142" s="19" t="s">
        <v>578</v>
      </c>
      <c r="S142" s="19" t="s">
        <v>1086</v>
      </c>
      <c r="T142" t="s">
        <v>45</v>
      </c>
      <c r="U142" s="22">
        <v>0</v>
      </c>
      <c r="V142" s="22">
        <v>0</v>
      </c>
      <c r="W142" s="22">
        <v>11871.45</v>
      </c>
      <c r="X142" s="22">
        <v>0</v>
      </c>
      <c r="Y142" s="22">
        <v>3375.45</v>
      </c>
      <c r="Z142" s="22">
        <v>0</v>
      </c>
      <c r="AA142" s="22">
        <v>0</v>
      </c>
      <c r="AB142" s="22">
        <v>0</v>
      </c>
      <c r="AC142" s="22">
        <v>0</v>
      </c>
      <c r="AD142" s="22">
        <v>0</v>
      </c>
      <c r="AE142" s="22">
        <v>15246.9</v>
      </c>
      <c r="AF142" s="22">
        <f t="shared" si="2"/>
        <v>15246.9</v>
      </c>
      <c r="AG142" s="22">
        <v>0</v>
      </c>
      <c r="AH142" s="22">
        <v>15246.9</v>
      </c>
      <c r="AI142" t="s">
        <v>562</v>
      </c>
      <c r="AJ142" t="s">
        <v>563</v>
      </c>
    </row>
    <row r="143" spans="1:36" ht="43.5" outlineLevel="2" x14ac:dyDescent="0.35">
      <c r="A143" s="19" t="s">
        <v>551</v>
      </c>
      <c r="B143" s="19" t="s">
        <v>764</v>
      </c>
      <c r="C143" s="19" t="s">
        <v>765</v>
      </c>
      <c r="D143" s="19">
        <v>2019</v>
      </c>
      <c r="E143" s="19" t="s">
        <v>554</v>
      </c>
      <c r="F143" s="19">
        <v>80091363</v>
      </c>
      <c r="G143" s="19" t="s">
        <v>1087</v>
      </c>
      <c r="H143" s="19" t="s">
        <v>1088</v>
      </c>
      <c r="I143" s="19" t="s">
        <v>31</v>
      </c>
      <c r="J143" s="20">
        <v>1</v>
      </c>
      <c r="K143" s="21">
        <v>43894</v>
      </c>
      <c r="L143" s="21">
        <v>43928</v>
      </c>
      <c r="M143" s="21">
        <v>44291</v>
      </c>
      <c r="N143" s="24" t="s">
        <v>2448</v>
      </c>
      <c r="O143" s="19" t="s">
        <v>557</v>
      </c>
      <c r="P143" s="19" t="s">
        <v>609</v>
      </c>
      <c r="Q143" s="19" t="s">
        <v>590</v>
      </c>
      <c r="R143" s="19" t="s">
        <v>616</v>
      </c>
      <c r="S143" s="19" t="s">
        <v>1089</v>
      </c>
      <c r="T143" t="s">
        <v>769</v>
      </c>
      <c r="U143" s="22">
        <v>0</v>
      </c>
      <c r="V143" s="22">
        <v>0</v>
      </c>
      <c r="W143" s="22">
        <v>396.57</v>
      </c>
      <c r="X143" s="22">
        <v>0</v>
      </c>
      <c r="Y143" s="22">
        <v>11.76</v>
      </c>
      <c r="Z143" s="22">
        <v>0</v>
      </c>
      <c r="AA143" s="22">
        <v>0</v>
      </c>
      <c r="AB143" s="22">
        <v>0</v>
      </c>
      <c r="AC143" s="22">
        <v>0</v>
      </c>
      <c r="AD143" s="22">
        <v>0</v>
      </c>
      <c r="AE143" s="22">
        <v>408.33</v>
      </c>
      <c r="AF143" s="22">
        <f t="shared" si="2"/>
        <v>408.33</v>
      </c>
      <c r="AG143" s="22">
        <v>0</v>
      </c>
      <c r="AH143" s="22">
        <v>408.33</v>
      </c>
      <c r="AI143" t="s">
        <v>562</v>
      </c>
      <c r="AJ143" t="s">
        <v>563</v>
      </c>
    </row>
    <row r="144" spans="1:36" ht="43.5" outlineLevel="2" x14ac:dyDescent="0.35">
      <c r="A144" s="19" t="s">
        <v>551</v>
      </c>
      <c r="B144" s="19" t="s">
        <v>1090</v>
      </c>
      <c r="C144" s="19" t="s">
        <v>673</v>
      </c>
      <c r="D144" s="19">
        <v>2019</v>
      </c>
      <c r="E144" s="19" t="s">
        <v>554</v>
      </c>
      <c r="F144" s="19">
        <v>80091370</v>
      </c>
      <c r="G144" s="19" t="s">
        <v>1091</v>
      </c>
      <c r="H144" s="19" t="s">
        <v>1092</v>
      </c>
      <c r="I144" s="19" t="s">
        <v>31</v>
      </c>
      <c r="J144" s="20">
        <v>1</v>
      </c>
      <c r="K144" s="21">
        <v>43894</v>
      </c>
      <c r="L144" s="21">
        <v>43895</v>
      </c>
      <c r="M144" s="21">
        <v>44291</v>
      </c>
      <c r="N144" s="24" t="s">
        <v>2448</v>
      </c>
      <c r="O144" s="19" t="s">
        <v>557</v>
      </c>
      <c r="P144" s="19" t="s">
        <v>609</v>
      </c>
      <c r="Q144" s="19" t="s">
        <v>569</v>
      </c>
      <c r="R144" s="19" t="s">
        <v>570</v>
      </c>
      <c r="S144" s="19" t="s">
        <v>1093</v>
      </c>
      <c r="T144" t="s">
        <v>51</v>
      </c>
      <c r="U144" s="22">
        <v>0</v>
      </c>
      <c r="V144" s="22">
        <v>0</v>
      </c>
      <c r="W144" s="22">
        <v>1562.98</v>
      </c>
      <c r="X144" s="22">
        <v>0</v>
      </c>
      <c r="Y144" s="22">
        <v>122.6</v>
      </c>
      <c r="Z144" s="22">
        <v>0</v>
      </c>
      <c r="AA144" s="22">
        <v>0</v>
      </c>
      <c r="AB144" s="22">
        <v>0</v>
      </c>
      <c r="AC144" s="22">
        <v>0</v>
      </c>
      <c r="AD144" s="22">
        <v>0</v>
      </c>
      <c r="AE144" s="22">
        <v>1685.58</v>
      </c>
      <c r="AF144" s="22">
        <f t="shared" si="2"/>
        <v>1685.58</v>
      </c>
      <c r="AG144" s="22">
        <v>0</v>
      </c>
      <c r="AH144" s="22">
        <v>1685.58</v>
      </c>
      <c r="AI144" t="s">
        <v>562</v>
      </c>
      <c r="AJ144" t="s">
        <v>563</v>
      </c>
    </row>
    <row r="145" spans="1:36" ht="72.5" outlineLevel="2" x14ac:dyDescent="0.35">
      <c r="A145" s="19" t="s">
        <v>551</v>
      </c>
      <c r="B145" s="19" t="s">
        <v>1094</v>
      </c>
      <c r="C145" s="19" t="s">
        <v>1095</v>
      </c>
      <c r="D145" s="19">
        <v>2019</v>
      </c>
      <c r="E145" s="19" t="s">
        <v>554</v>
      </c>
      <c r="F145" s="19">
        <v>80091357</v>
      </c>
      <c r="G145" s="19" t="s">
        <v>1096</v>
      </c>
      <c r="H145" s="19" t="s">
        <v>1097</v>
      </c>
      <c r="I145" s="19" t="s">
        <v>31</v>
      </c>
      <c r="J145" s="20">
        <v>1</v>
      </c>
      <c r="K145" s="21">
        <v>43888</v>
      </c>
      <c r="L145" s="21">
        <v>43889</v>
      </c>
      <c r="M145" s="21">
        <v>44291</v>
      </c>
      <c r="N145" s="24" t="s">
        <v>2448</v>
      </c>
      <c r="O145" s="19" t="s">
        <v>557</v>
      </c>
      <c r="P145" s="19" t="s">
        <v>568</v>
      </c>
      <c r="Q145" s="19" t="s">
        <v>590</v>
      </c>
      <c r="R145" s="19" t="s">
        <v>591</v>
      </c>
      <c r="S145" s="19" t="s">
        <v>1098</v>
      </c>
      <c r="T145" t="s">
        <v>51</v>
      </c>
      <c r="U145" s="22">
        <v>0</v>
      </c>
      <c r="V145" s="22">
        <v>0</v>
      </c>
      <c r="W145" s="22">
        <v>626.64</v>
      </c>
      <c r="X145" s="22">
        <v>0</v>
      </c>
      <c r="Y145" s="22">
        <v>28.67</v>
      </c>
      <c r="Z145" s="22">
        <v>0</v>
      </c>
      <c r="AA145" s="22">
        <v>0</v>
      </c>
      <c r="AB145" s="22">
        <v>0</v>
      </c>
      <c r="AC145" s="22">
        <v>0</v>
      </c>
      <c r="AD145" s="22">
        <v>0</v>
      </c>
      <c r="AE145" s="22">
        <v>655.30999999999995</v>
      </c>
      <c r="AF145" s="22">
        <f t="shared" si="2"/>
        <v>655.30999999999995</v>
      </c>
      <c r="AG145" s="22">
        <v>0</v>
      </c>
      <c r="AH145" s="22">
        <v>655.30999999999995</v>
      </c>
      <c r="AI145" t="s">
        <v>562</v>
      </c>
      <c r="AJ145" t="s">
        <v>563</v>
      </c>
    </row>
    <row r="146" spans="1:36" ht="58" outlineLevel="2" x14ac:dyDescent="0.35">
      <c r="A146" s="19" t="s">
        <v>551</v>
      </c>
      <c r="B146" s="19" t="s">
        <v>605</v>
      </c>
      <c r="C146" s="19" t="s">
        <v>606</v>
      </c>
      <c r="D146" s="19">
        <v>2019</v>
      </c>
      <c r="E146" s="19" t="s">
        <v>554</v>
      </c>
      <c r="F146" s="19">
        <v>80091361</v>
      </c>
      <c r="G146" s="19" t="s">
        <v>1099</v>
      </c>
      <c r="H146" s="19" t="s">
        <v>1100</v>
      </c>
      <c r="I146" s="19" t="s">
        <v>31</v>
      </c>
      <c r="J146" s="20">
        <v>1</v>
      </c>
      <c r="K146" s="21">
        <v>43887</v>
      </c>
      <c r="L146" s="21">
        <v>43888</v>
      </c>
      <c r="M146" s="21">
        <v>44291</v>
      </c>
      <c r="N146" s="24" t="s">
        <v>2448</v>
      </c>
      <c r="O146" s="19" t="s">
        <v>603</v>
      </c>
      <c r="P146" s="19" t="s">
        <v>665</v>
      </c>
      <c r="Q146" s="19" t="s">
        <v>597</v>
      </c>
      <c r="R146" s="19" t="s">
        <v>570</v>
      </c>
      <c r="S146" s="19" t="s">
        <v>1101</v>
      </c>
      <c r="T146" t="s">
        <v>69</v>
      </c>
      <c r="U146" s="22">
        <v>0</v>
      </c>
      <c r="V146" s="22">
        <v>0</v>
      </c>
      <c r="W146" s="22">
        <v>1314.98</v>
      </c>
      <c r="X146" s="22">
        <v>0</v>
      </c>
      <c r="Y146" s="22">
        <v>131.68</v>
      </c>
      <c r="Z146" s="22">
        <v>0</v>
      </c>
      <c r="AA146" s="22">
        <v>0</v>
      </c>
      <c r="AB146" s="22">
        <v>-33.950000000000003</v>
      </c>
      <c r="AC146" s="22">
        <v>0</v>
      </c>
      <c r="AD146" s="22">
        <v>0</v>
      </c>
      <c r="AE146" s="22">
        <v>1446.66</v>
      </c>
      <c r="AF146" s="22">
        <f t="shared" si="2"/>
        <v>1412.71</v>
      </c>
      <c r="AG146" s="22">
        <v>0</v>
      </c>
      <c r="AH146" s="22">
        <v>1412.71</v>
      </c>
      <c r="AI146" t="s">
        <v>562</v>
      </c>
      <c r="AJ146" t="s">
        <v>563</v>
      </c>
    </row>
    <row r="147" spans="1:36" ht="58" outlineLevel="2" x14ac:dyDescent="0.35">
      <c r="A147" s="19" t="s">
        <v>551</v>
      </c>
      <c r="B147" s="19" t="s">
        <v>986</v>
      </c>
      <c r="C147" s="19" t="s">
        <v>553</v>
      </c>
      <c r="D147" s="19">
        <v>2019</v>
      </c>
      <c r="E147" s="19" t="s">
        <v>554</v>
      </c>
      <c r="F147" s="19">
        <v>80091427</v>
      </c>
      <c r="G147" s="19" t="s">
        <v>1102</v>
      </c>
      <c r="H147" s="19" t="s">
        <v>1103</v>
      </c>
      <c r="I147" s="19" t="s">
        <v>31</v>
      </c>
      <c r="J147" s="20">
        <v>1</v>
      </c>
      <c r="K147" s="21">
        <v>43887</v>
      </c>
      <c r="L147" s="21">
        <v>43888</v>
      </c>
      <c r="M147" s="21">
        <v>43934</v>
      </c>
      <c r="N147" s="24" t="s">
        <v>2448</v>
      </c>
      <c r="O147" s="19" t="s">
        <v>557</v>
      </c>
      <c r="P147" s="19" t="s">
        <v>609</v>
      </c>
      <c r="Q147" s="19" t="s">
        <v>597</v>
      </c>
      <c r="R147" s="19" t="s">
        <v>591</v>
      </c>
      <c r="S147" s="19" t="s">
        <v>1104</v>
      </c>
      <c r="T147" t="s">
        <v>169</v>
      </c>
      <c r="U147" s="22">
        <v>0</v>
      </c>
      <c r="V147" s="22">
        <v>0</v>
      </c>
      <c r="W147" s="22">
        <v>0</v>
      </c>
      <c r="X147" s="22">
        <v>0</v>
      </c>
      <c r="Y147" s="22">
        <v>0</v>
      </c>
      <c r="Z147" s="22">
        <v>0</v>
      </c>
      <c r="AA147" s="22">
        <v>0</v>
      </c>
      <c r="AB147" s="22">
        <v>0</v>
      </c>
      <c r="AC147" s="22">
        <v>0</v>
      </c>
      <c r="AD147" s="22">
        <v>0</v>
      </c>
      <c r="AE147" s="22">
        <v>0</v>
      </c>
      <c r="AF147" s="22">
        <f t="shared" si="2"/>
        <v>0</v>
      </c>
      <c r="AG147" s="22">
        <v>0</v>
      </c>
      <c r="AH147" s="22">
        <v>0</v>
      </c>
      <c r="AI147" t="s">
        <v>562</v>
      </c>
      <c r="AJ147" t="s">
        <v>563</v>
      </c>
    </row>
    <row r="148" spans="1:36" ht="43.5" outlineLevel="2" x14ac:dyDescent="0.35">
      <c r="A148" s="19" t="s">
        <v>551</v>
      </c>
      <c r="B148" s="19" t="s">
        <v>605</v>
      </c>
      <c r="C148" s="19" t="s">
        <v>606</v>
      </c>
      <c r="D148" s="19">
        <v>2019</v>
      </c>
      <c r="E148" s="19" t="s">
        <v>554</v>
      </c>
      <c r="F148" s="19">
        <v>80091377</v>
      </c>
      <c r="G148" s="19" t="s">
        <v>1105</v>
      </c>
      <c r="H148" s="19" t="s">
        <v>1106</v>
      </c>
      <c r="I148" s="19" t="s">
        <v>31</v>
      </c>
      <c r="J148" s="20">
        <v>1</v>
      </c>
      <c r="K148" s="21">
        <v>43880</v>
      </c>
      <c r="L148" s="21">
        <v>43882</v>
      </c>
      <c r="M148" s="21">
        <v>44291</v>
      </c>
      <c r="N148" s="24" t="s">
        <v>2448</v>
      </c>
      <c r="O148" s="19" t="s">
        <v>557</v>
      </c>
      <c r="P148" s="19" t="s">
        <v>576</v>
      </c>
      <c r="Q148" s="19" t="s">
        <v>634</v>
      </c>
      <c r="R148" s="19" t="s">
        <v>616</v>
      </c>
      <c r="S148" s="19" t="s">
        <v>1107</v>
      </c>
      <c r="T148" t="s">
        <v>69</v>
      </c>
      <c r="U148" s="22">
        <v>0</v>
      </c>
      <c r="V148" s="22">
        <v>0</v>
      </c>
      <c r="W148" s="22">
        <v>296.37</v>
      </c>
      <c r="X148" s="22">
        <v>0</v>
      </c>
      <c r="Y148" s="22">
        <v>24.9</v>
      </c>
      <c r="Z148" s="22">
        <v>0</v>
      </c>
      <c r="AA148" s="22">
        <v>0</v>
      </c>
      <c r="AB148" s="22">
        <v>0</v>
      </c>
      <c r="AC148" s="22">
        <v>0</v>
      </c>
      <c r="AD148" s="22">
        <v>0</v>
      </c>
      <c r="AE148" s="22">
        <v>321.27</v>
      </c>
      <c r="AF148" s="22">
        <f t="shared" si="2"/>
        <v>321.27</v>
      </c>
      <c r="AG148" s="22">
        <v>0</v>
      </c>
      <c r="AH148" s="22">
        <v>321.27</v>
      </c>
      <c r="AI148" t="s">
        <v>562</v>
      </c>
      <c r="AJ148" t="s">
        <v>563</v>
      </c>
    </row>
    <row r="149" spans="1:36" ht="43.5" outlineLevel="2" x14ac:dyDescent="0.35">
      <c r="A149" s="19" t="s">
        <v>551</v>
      </c>
      <c r="B149" s="19" t="s">
        <v>680</v>
      </c>
      <c r="C149" s="19" t="s">
        <v>553</v>
      </c>
      <c r="D149" s="19">
        <v>2019</v>
      </c>
      <c r="E149" s="19" t="s">
        <v>554</v>
      </c>
      <c r="F149" s="19">
        <v>80091371</v>
      </c>
      <c r="G149" s="19" t="s">
        <v>1108</v>
      </c>
      <c r="H149" s="19" t="s">
        <v>1109</v>
      </c>
      <c r="I149" s="19" t="s">
        <v>31</v>
      </c>
      <c r="J149" s="20">
        <v>1</v>
      </c>
      <c r="K149" s="21">
        <v>43878</v>
      </c>
      <c r="L149" s="21">
        <v>43882</v>
      </c>
      <c r="M149" s="21">
        <v>44288</v>
      </c>
      <c r="N149" s="24" t="s">
        <v>2448</v>
      </c>
      <c r="O149" s="19" t="s">
        <v>557</v>
      </c>
      <c r="P149" s="19" t="s">
        <v>665</v>
      </c>
      <c r="Q149" s="19" t="s">
        <v>661</v>
      </c>
      <c r="R149" s="19" t="s">
        <v>570</v>
      </c>
      <c r="S149" s="19" t="s">
        <v>1110</v>
      </c>
      <c r="T149" t="s">
        <v>45</v>
      </c>
      <c r="U149" s="22">
        <v>0</v>
      </c>
      <c r="V149" s="22">
        <v>0</v>
      </c>
      <c r="W149" s="22">
        <v>1629.93</v>
      </c>
      <c r="X149" s="22">
        <v>0</v>
      </c>
      <c r="Y149" s="22">
        <v>68.349999999999994</v>
      </c>
      <c r="Z149" s="22">
        <v>0</v>
      </c>
      <c r="AA149" s="22">
        <v>0</v>
      </c>
      <c r="AB149" s="22">
        <v>0</v>
      </c>
      <c r="AC149" s="22">
        <v>0</v>
      </c>
      <c r="AD149" s="22">
        <v>0</v>
      </c>
      <c r="AE149" s="22">
        <v>1698.28</v>
      </c>
      <c r="AF149" s="22">
        <f t="shared" si="2"/>
        <v>1698.28</v>
      </c>
      <c r="AG149" s="22">
        <v>0</v>
      </c>
      <c r="AH149" s="22">
        <v>1698.28</v>
      </c>
      <c r="AI149" t="s">
        <v>562</v>
      </c>
      <c r="AJ149" t="s">
        <v>563</v>
      </c>
    </row>
    <row r="150" spans="1:36" ht="58" outlineLevel="2" x14ac:dyDescent="0.35">
      <c r="A150" s="19" t="s">
        <v>551</v>
      </c>
      <c r="B150" s="19" t="s">
        <v>586</v>
      </c>
      <c r="C150" s="19" t="s">
        <v>587</v>
      </c>
      <c r="D150" s="19">
        <v>2019</v>
      </c>
      <c r="E150" s="19" t="s">
        <v>554</v>
      </c>
      <c r="F150" s="19">
        <v>80091360</v>
      </c>
      <c r="G150" s="19" t="s">
        <v>1111</v>
      </c>
      <c r="H150" s="19" t="s">
        <v>1112</v>
      </c>
      <c r="I150" s="19" t="s">
        <v>31</v>
      </c>
      <c r="J150" s="20">
        <v>1</v>
      </c>
      <c r="K150" s="21">
        <v>43872</v>
      </c>
      <c r="L150" s="21">
        <v>43875</v>
      </c>
      <c r="M150" s="21">
        <v>44693</v>
      </c>
      <c r="N150" s="24" t="s">
        <v>2448</v>
      </c>
      <c r="O150" s="19" t="s">
        <v>557</v>
      </c>
      <c r="P150" s="19" t="s">
        <v>568</v>
      </c>
      <c r="Q150" s="19" t="s">
        <v>569</v>
      </c>
      <c r="R150" s="19" t="s">
        <v>591</v>
      </c>
      <c r="S150" s="19" t="s">
        <v>1113</v>
      </c>
      <c r="T150" t="s">
        <v>45</v>
      </c>
      <c r="U150" s="22">
        <v>15000</v>
      </c>
      <c r="V150" s="22">
        <v>0</v>
      </c>
      <c r="W150" s="22">
        <v>11715.42</v>
      </c>
      <c r="X150" s="22">
        <v>0</v>
      </c>
      <c r="Y150" s="22">
        <v>5901.5</v>
      </c>
      <c r="Z150" s="22">
        <v>0</v>
      </c>
      <c r="AA150" s="22">
        <v>0</v>
      </c>
      <c r="AB150" s="22">
        <v>-20.74</v>
      </c>
      <c r="AC150" s="22">
        <v>0</v>
      </c>
      <c r="AD150" s="22">
        <v>0</v>
      </c>
      <c r="AE150" s="22">
        <v>32616.92</v>
      </c>
      <c r="AF150" s="22">
        <f t="shared" si="2"/>
        <v>32596.179999999997</v>
      </c>
      <c r="AG150" s="22">
        <v>0</v>
      </c>
      <c r="AH150" s="22">
        <v>32596.18</v>
      </c>
      <c r="AI150" t="s">
        <v>562</v>
      </c>
      <c r="AJ150" t="s">
        <v>563</v>
      </c>
    </row>
    <row r="151" spans="1:36" ht="58" outlineLevel="2" x14ac:dyDescent="0.35">
      <c r="A151" s="19" t="s">
        <v>551</v>
      </c>
      <c r="B151" s="19" t="s">
        <v>1094</v>
      </c>
      <c r="C151" s="19" t="s">
        <v>1095</v>
      </c>
      <c r="D151" s="19">
        <v>2019</v>
      </c>
      <c r="E151" s="19" t="s">
        <v>554</v>
      </c>
      <c r="F151" s="19">
        <v>80091428</v>
      </c>
      <c r="G151" s="19" t="s">
        <v>1114</v>
      </c>
      <c r="H151" s="19" t="s">
        <v>1115</v>
      </c>
      <c r="I151" s="19" t="s">
        <v>31</v>
      </c>
      <c r="J151" s="20">
        <v>1</v>
      </c>
      <c r="K151" s="21">
        <v>43868</v>
      </c>
      <c r="L151" s="21">
        <v>43889</v>
      </c>
      <c r="M151" s="21">
        <v>44291</v>
      </c>
      <c r="N151" s="24" t="s">
        <v>2448</v>
      </c>
      <c r="O151" s="19" t="s">
        <v>557</v>
      </c>
      <c r="P151" s="19" t="s">
        <v>568</v>
      </c>
      <c r="Q151" s="19" t="s">
        <v>577</v>
      </c>
      <c r="R151" s="19" t="s">
        <v>578</v>
      </c>
      <c r="S151" s="19" t="s">
        <v>1116</v>
      </c>
      <c r="T151" t="s">
        <v>51</v>
      </c>
      <c r="U151" s="22">
        <v>0</v>
      </c>
      <c r="V151" s="22">
        <v>0</v>
      </c>
      <c r="W151" s="22">
        <v>364.27</v>
      </c>
      <c r="X151" s="22">
        <v>0</v>
      </c>
      <c r="Y151" s="22">
        <v>42.49</v>
      </c>
      <c r="Z151" s="22">
        <v>0</v>
      </c>
      <c r="AA151" s="22">
        <v>0</v>
      </c>
      <c r="AB151" s="22">
        <v>0</v>
      </c>
      <c r="AC151" s="22">
        <v>0</v>
      </c>
      <c r="AD151" s="22">
        <v>0</v>
      </c>
      <c r="AE151" s="22">
        <v>406.76</v>
      </c>
      <c r="AF151" s="22">
        <f t="shared" si="2"/>
        <v>406.76</v>
      </c>
      <c r="AG151" s="22">
        <v>0</v>
      </c>
      <c r="AH151" s="22">
        <v>406.76</v>
      </c>
      <c r="AI151" t="s">
        <v>562</v>
      </c>
      <c r="AJ151" t="s">
        <v>563</v>
      </c>
    </row>
    <row r="152" spans="1:36" ht="43.5" outlineLevel="2" x14ac:dyDescent="0.35">
      <c r="A152" s="19" t="s">
        <v>551</v>
      </c>
      <c r="B152" s="19" t="s">
        <v>986</v>
      </c>
      <c r="C152" s="19" t="s">
        <v>553</v>
      </c>
      <c r="D152" s="19">
        <v>2019</v>
      </c>
      <c r="E152" s="19" t="s">
        <v>554</v>
      </c>
      <c r="F152" s="19">
        <v>80091343</v>
      </c>
      <c r="G152" s="19" t="s">
        <v>1117</v>
      </c>
      <c r="H152" s="19" t="s">
        <v>1118</v>
      </c>
      <c r="I152" s="19" t="s">
        <v>31</v>
      </c>
      <c r="J152" s="20">
        <v>1</v>
      </c>
      <c r="K152" s="21">
        <v>43860</v>
      </c>
      <c r="L152" s="21">
        <v>43866</v>
      </c>
      <c r="M152" s="21">
        <v>43886</v>
      </c>
      <c r="N152" s="24" t="s">
        <v>2448</v>
      </c>
      <c r="O152" s="19" t="s">
        <v>557</v>
      </c>
      <c r="P152" s="19" t="s">
        <v>568</v>
      </c>
      <c r="Q152" s="19" t="s">
        <v>704</v>
      </c>
      <c r="R152" s="19" t="s">
        <v>578</v>
      </c>
      <c r="S152" s="19" t="s">
        <v>1119</v>
      </c>
      <c r="T152" t="s">
        <v>169</v>
      </c>
      <c r="U152" s="22">
        <v>0</v>
      </c>
      <c r="V152" s="22">
        <v>0</v>
      </c>
      <c r="W152" s="22">
        <v>318.14</v>
      </c>
      <c r="X152" s="22">
        <v>0</v>
      </c>
      <c r="Y152" s="22">
        <v>25.08</v>
      </c>
      <c r="Z152" s="22">
        <v>0</v>
      </c>
      <c r="AA152" s="22">
        <v>0</v>
      </c>
      <c r="AB152" s="22">
        <v>0</v>
      </c>
      <c r="AC152" s="22">
        <v>0</v>
      </c>
      <c r="AD152" s="22">
        <v>0</v>
      </c>
      <c r="AE152" s="22">
        <v>343.22</v>
      </c>
      <c r="AF152" s="22">
        <f t="shared" si="2"/>
        <v>343.22</v>
      </c>
      <c r="AG152" s="22">
        <v>0</v>
      </c>
      <c r="AH152" s="22">
        <v>343.22</v>
      </c>
      <c r="AI152" t="s">
        <v>562</v>
      </c>
      <c r="AJ152" t="s">
        <v>563</v>
      </c>
    </row>
    <row r="153" spans="1:36" ht="43.5" outlineLevel="2" x14ac:dyDescent="0.35">
      <c r="A153" s="19" t="s">
        <v>551</v>
      </c>
      <c r="B153" s="19" t="s">
        <v>821</v>
      </c>
      <c r="C153" s="19" t="s">
        <v>749</v>
      </c>
      <c r="D153" s="19">
        <v>2019</v>
      </c>
      <c r="E153" s="19" t="s">
        <v>554</v>
      </c>
      <c r="F153" s="19">
        <v>80091355</v>
      </c>
      <c r="G153" s="19" t="s">
        <v>1120</v>
      </c>
      <c r="H153" s="19" t="s">
        <v>1121</v>
      </c>
      <c r="I153" s="19" t="s">
        <v>31</v>
      </c>
      <c r="J153" s="20">
        <v>1</v>
      </c>
      <c r="K153" s="21">
        <v>43853</v>
      </c>
      <c r="L153" s="21">
        <v>43857</v>
      </c>
      <c r="M153" s="21">
        <v>44449</v>
      </c>
      <c r="N153" s="24" t="s">
        <v>2448</v>
      </c>
      <c r="O153" s="19" t="s">
        <v>557</v>
      </c>
      <c r="P153" s="19" t="s">
        <v>568</v>
      </c>
      <c r="Q153" s="19" t="s">
        <v>655</v>
      </c>
      <c r="R153" s="19" t="s">
        <v>708</v>
      </c>
      <c r="S153" s="19" t="s">
        <v>1122</v>
      </c>
      <c r="T153" t="s">
        <v>121</v>
      </c>
      <c r="U153" s="22">
        <v>2138.3200000000002</v>
      </c>
      <c r="V153" s="22">
        <v>0</v>
      </c>
      <c r="W153" s="22">
        <v>20778.87</v>
      </c>
      <c r="X153" s="22">
        <v>0</v>
      </c>
      <c r="Y153" s="22">
        <v>573.71</v>
      </c>
      <c r="Z153" s="22">
        <v>0</v>
      </c>
      <c r="AA153" s="22">
        <v>0</v>
      </c>
      <c r="AB153" s="22">
        <v>-53.42</v>
      </c>
      <c r="AC153" s="22">
        <v>0</v>
      </c>
      <c r="AD153" s="22">
        <v>0</v>
      </c>
      <c r="AE153" s="22">
        <v>23490.9</v>
      </c>
      <c r="AF153" s="22">
        <f t="shared" si="2"/>
        <v>23437.480000000003</v>
      </c>
      <c r="AG153" s="22">
        <v>0</v>
      </c>
      <c r="AH153" s="22">
        <v>23437.48</v>
      </c>
      <c r="AI153" t="s">
        <v>562</v>
      </c>
      <c r="AJ153" t="s">
        <v>563</v>
      </c>
    </row>
    <row r="154" spans="1:36" ht="72.5" outlineLevel="2" x14ac:dyDescent="0.35">
      <c r="A154" s="19" t="s">
        <v>551</v>
      </c>
      <c r="B154" s="19" t="s">
        <v>552</v>
      </c>
      <c r="C154" s="19" t="s">
        <v>553</v>
      </c>
      <c r="D154" s="19">
        <v>2019</v>
      </c>
      <c r="E154" s="19" t="s">
        <v>554</v>
      </c>
      <c r="F154" s="19">
        <v>80091353</v>
      </c>
      <c r="G154" s="19" t="s">
        <v>1123</v>
      </c>
      <c r="H154" s="19" t="s">
        <v>1124</v>
      </c>
      <c r="I154" s="19" t="s">
        <v>31</v>
      </c>
      <c r="J154" s="20">
        <v>1</v>
      </c>
      <c r="K154" s="21">
        <v>43850</v>
      </c>
      <c r="L154" s="21">
        <v>43886</v>
      </c>
      <c r="M154" s="21">
        <v>44082</v>
      </c>
      <c r="N154" s="24" t="s">
        <v>2448</v>
      </c>
      <c r="O154" s="19" t="s">
        <v>557</v>
      </c>
      <c r="P154" s="19" t="s">
        <v>568</v>
      </c>
      <c r="Q154" s="19" t="s">
        <v>661</v>
      </c>
      <c r="R154" s="19" t="s">
        <v>570</v>
      </c>
      <c r="S154" s="19" t="s">
        <v>1125</v>
      </c>
      <c r="T154" t="s">
        <v>85</v>
      </c>
      <c r="U154" s="22">
        <v>0</v>
      </c>
      <c r="V154" s="22">
        <v>0</v>
      </c>
      <c r="W154" s="22">
        <v>488.24</v>
      </c>
      <c r="X154" s="22">
        <v>0</v>
      </c>
      <c r="Y154" s="22">
        <v>59.93</v>
      </c>
      <c r="Z154" s="22">
        <v>0</v>
      </c>
      <c r="AA154" s="22">
        <v>0</v>
      </c>
      <c r="AB154" s="22">
        <v>-1.58</v>
      </c>
      <c r="AC154" s="22">
        <v>0</v>
      </c>
      <c r="AD154" s="22">
        <v>0</v>
      </c>
      <c r="AE154" s="22">
        <v>548.16999999999996</v>
      </c>
      <c r="AF154" s="22">
        <f t="shared" si="2"/>
        <v>546.58999999999992</v>
      </c>
      <c r="AG154" s="22">
        <v>0</v>
      </c>
      <c r="AH154" s="22">
        <v>546.59</v>
      </c>
      <c r="AI154" t="s">
        <v>562</v>
      </c>
      <c r="AJ154" t="s">
        <v>563</v>
      </c>
    </row>
    <row r="155" spans="1:36" ht="58" outlineLevel="2" x14ac:dyDescent="0.35">
      <c r="A155" s="19" t="s">
        <v>551</v>
      </c>
      <c r="B155" s="19" t="s">
        <v>986</v>
      </c>
      <c r="C155" s="19" t="s">
        <v>553</v>
      </c>
      <c r="D155" s="19">
        <v>2019</v>
      </c>
      <c r="E155" s="19" t="s">
        <v>554</v>
      </c>
      <c r="F155" s="19">
        <v>80091352</v>
      </c>
      <c r="G155" s="19" t="s">
        <v>1126</v>
      </c>
      <c r="H155" s="19" t="s">
        <v>1127</v>
      </c>
      <c r="I155" s="19" t="s">
        <v>31</v>
      </c>
      <c r="J155" s="20">
        <v>1</v>
      </c>
      <c r="K155" s="21">
        <v>43847</v>
      </c>
      <c r="L155" s="21">
        <v>43851</v>
      </c>
      <c r="M155" s="21">
        <v>44428</v>
      </c>
      <c r="N155" s="24" t="s">
        <v>2448</v>
      </c>
      <c r="O155" s="19" t="s">
        <v>557</v>
      </c>
      <c r="P155" s="19" t="s">
        <v>568</v>
      </c>
      <c r="Q155" s="19" t="s">
        <v>655</v>
      </c>
      <c r="R155" s="19" t="s">
        <v>616</v>
      </c>
      <c r="S155" s="19" t="s">
        <v>1128</v>
      </c>
      <c r="T155" t="s">
        <v>169</v>
      </c>
      <c r="U155" s="22">
        <v>0</v>
      </c>
      <c r="V155" s="22">
        <v>0</v>
      </c>
      <c r="W155" s="22">
        <v>322.58</v>
      </c>
      <c r="X155" s="22">
        <v>0</v>
      </c>
      <c r="Y155" s="22">
        <v>34.57</v>
      </c>
      <c r="Z155" s="22">
        <v>0</v>
      </c>
      <c r="AA155" s="22">
        <v>0</v>
      </c>
      <c r="AB155" s="22">
        <v>-7.52</v>
      </c>
      <c r="AC155" s="22">
        <v>0</v>
      </c>
      <c r="AD155" s="22">
        <v>0</v>
      </c>
      <c r="AE155" s="22">
        <v>357.15</v>
      </c>
      <c r="AF155" s="22">
        <f t="shared" si="2"/>
        <v>349.63</v>
      </c>
      <c r="AG155" s="22">
        <v>0</v>
      </c>
      <c r="AH155" s="22">
        <v>349.63</v>
      </c>
      <c r="AI155" t="s">
        <v>562</v>
      </c>
      <c r="AJ155" t="s">
        <v>563</v>
      </c>
    </row>
    <row r="156" spans="1:36" ht="58" outlineLevel="2" x14ac:dyDescent="0.35">
      <c r="A156" s="19" t="s">
        <v>551</v>
      </c>
      <c r="B156" s="19" t="s">
        <v>552</v>
      </c>
      <c r="C156" s="19" t="s">
        <v>553</v>
      </c>
      <c r="D156" s="19">
        <v>2019</v>
      </c>
      <c r="E156" s="19" t="s">
        <v>554</v>
      </c>
      <c r="F156" s="19">
        <v>80091338</v>
      </c>
      <c r="G156" s="19" t="s">
        <v>1129</v>
      </c>
      <c r="H156" s="19" t="s">
        <v>1130</v>
      </c>
      <c r="I156" s="19" t="s">
        <v>31</v>
      </c>
      <c r="J156" s="20">
        <v>1</v>
      </c>
      <c r="K156" s="21">
        <v>43846</v>
      </c>
      <c r="L156" s="21">
        <v>43846</v>
      </c>
      <c r="M156" s="21">
        <v>45359</v>
      </c>
      <c r="N156" s="24" t="s">
        <v>2448</v>
      </c>
      <c r="O156" s="19" t="s">
        <v>557</v>
      </c>
      <c r="P156" s="19" t="s">
        <v>568</v>
      </c>
      <c r="Q156" s="19" t="s">
        <v>634</v>
      </c>
      <c r="R156" s="19" t="s">
        <v>578</v>
      </c>
      <c r="S156" s="19" t="s">
        <v>1131</v>
      </c>
      <c r="T156" t="s">
        <v>85</v>
      </c>
      <c r="U156" s="22">
        <v>6824.16</v>
      </c>
      <c r="V156" s="22">
        <v>0</v>
      </c>
      <c r="W156" s="22">
        <v>6401.96</v>
      </c>
      <c r="X156" s="22">
        <v>0</v>
      </c>
      <c r="Y156" s="22">
        <v>353.92</v>
      </c>
      <c r="Z156" s="22">
        <v>0</v>
      </c>
      <c r="AA156" s="22">
        <v>0</v>
      </c>
      <c r="AB156" s="22">
        <v>-1500</v>
      </c>
      <c r="AC156" s="22">
        <v>0</v>
      </c>
      <c r="AD156" s="22">
        <v>0</v>
      </c>
      <c r="AE156" s="22">
        <v>13580.04</v>
      </c>
      <c r="AF156" s="22">
        <f t="shared" si="2"/>
        <v>12080.04</v>
      </c>
      <c r="AG156" s="22">
        <v>0</v>
      </c>
      <c r="AH156" s="22">
        <v>12080.04</v>
      </c>
      <c r="AI156" t="s">
        <v>562</v>
      </c>
      <c r="AJ156" t="s">
        <v>563</v>
      </c>
    </row>
    <row r="157" spans="1:36" ht="58" outlineLevel="2" x14ac:dyDescent="0.35">
      <c r="A157" s="19" t="s">
        <v>551</v>
      </c>
      <c r="B157" s="19" t="s">
        <v>764</v>
      </c>
      <c r="C157" s="19" t="s">
        <v>765</v>
      </c>
      <c r="D157" s="19">
        <v>2019</v>
      </c>
      <c r="E157" s="19" t="s">
        <v>554</v>
      </c>
      <c r="F157" s="19">
        <v>80091335</v>
      </c>
      <c r="G157" s="19" t="s">
        <v>1132</v>
      </c>
      <c r="H157" s="19" t="s">
        <v>1133</v>
      </c>
      <c r="I157" s="19" t="s">
        <v>31</v>
      </c>
      <c r="J157" s="20">
        <v>1</v>
      </c>
      <c r="K157" s="21">
        <v>43845</v>
      </c>
      <c r="L157" s="21">
        <v>43857</v>
      </c>
      <c r="M157" s="21">
        <v>44291</v>
      </c>
      <c r="N157" s="24" t="s">
        <v>2448</v>
      </c>
      <c r="O157" s="19" t="s">
        <v>557</v>
      </c>
      <c r="P157" s="19" t="s">
        <v>568</v>
      </c>
      <c r="Q157" s="19" t="s">
        <v>720</v>
      </c>
      <c r="R157" s="19" t="s">
        <v>578</v>
      </c>
      <c r="S157" s="19" t="s">
        <v>1134</v>
      </c>
      <c r="T157" t="s">
        <v>769</v>
      </c>
      <c r="U157" s="22">
        <v>0</v>
      </c>
      <c r="V157" s="22">
        <v>0</v>
      </c>
      <c r="W157" s="22">
        <v>917.89</v>
      </c>
      <c r="X157" s="22">
        <v>0</v>
      </c>
      <c r="Y157" s="22">
        <v>37.159999999999997</v>
      </c>
      <c r="Z157" s="22">
        <v>0</v>
      </c>
      <c r="AA157" s="22">
        <v>0</v>
      </c>
      <c r="AB157" s="22">
        <v>0</v>
      </c>
      <c r="AC157" s="22">
        <v>0</v>
      </c>
      <c r="AD157" s="22">
        <v>0</v>
      </c>
      <c r="AE157" s="22">
        <v>955.05</v>
      </c>
      <c r="AF157" s="22">
        <f t="shared" si="2"/>
        <v>955.05</v>
      </c>
      <c r="AG157" s="22">
        <v>0</v>
      </c>
      <c r="AH157" s="22">
        <v>955.05</v>
      </c>
      <c r="AI157" t="s">
        <v>562</v>
      </c>
      <c r="AJ157" t="s">
        <v>563</v>
      </c>
    </row>
    <row r="158" spans="1:36" ht="43.5" outlineLevel="2" x14ac:dyDescent="0.35">
      <c r="A158" s="19" t="s">
        <v>551</v>
      </c>
      <c r="B158" s="19" t="s">
        <v>821</v>
      </c>
      <c r="C158" s="19" t="s">
        <v>749</v>
      </c>
      <c r="D158" s="19">
        <v>2019</v>
      </c>
      <c r="E158" s="19" t="s">
        <v>554</v>
      </c>
      <c r="F158" s="19">
        <v>80091387</v>
      </c>
      <c r="G158" s="19" t="s">
        <v>1135</v>
      </c>
      <c r="H158" s="19" t="s">
        <v>1136</v>
      </c>
      <c r="I158" s="19" t="s">
        <v>31</v>
      </c>
      <c r="J158" s="20">
        <v>1</v>
      </c>
      <c r="K158" s="21">
        <v>43844</v>
      </c>
      <c r="L158" s="21">
        <v>43844</v>
      </c>
      <c r="M158" s="21">
        <v>44291</v>
      </c>
      <c r="N158" s="24" t="s">
        <v>2448</v>
      </c>
      <c r="O158" s="19" t="s">
        <v>603</v>
      </c>
      <c r="P158" s="19" t="s">
        <v>609</v>
      </c>
      <c r="Q158" s="19" t="s">
        <v>649</v>
      </c>
      <c r="R158" s="19" t="s">
        <v>591</v>
      </c>
      <c r="S158" s="19" t="s">
        <v>1137</v>
      </c>
      <c r="T158" t="s">
        <v>121</v>
      </c>
      <c r="U158" s="22">
        <v>0</v>
      </c>
      <c r="V158" s="22">
        <v>0</v>
      </c>
      <c r="W158" s="22">
        <v>194.79</v>
      </c>
      <c r="X158" s="22">
        <v>0</v>
      </c>
      <c r="Y158" s="22">
        <v>21.87</v>
      </c>
      <c r="Z158" s="22">
        <v>0</v>
      </c>
      <c r="AA158" s="22">
        <v>0</v>
      </c>
      <c r="AB158" s="22">
        <v>0</v>
      </c>
      <c r="AC158" s="22">
        <v>0</v>
      </c>
      <c r="AD158" s="22">
        <v>0</v>
      </c>
      <c r="AE158" s="22">
        <v>216.66</v>
      </c>
      <c r="AF158" s="22">
        <f t="shared" si="2"/>
        <v>216.66</v>
      </c>
      <c r="AG158" s="22">
        <v>0</v>
      </c>
      <c r="AH158" s="22">
        <v>216.66</v>
      </c>
      <c r="AI158" t="s">
        <v>562</v>
      </c>
      <c r="AJ158" t="s">
        <v>563</v>
      </c>
    </row>
    <row r="159" spans="1:36" ht="58" outlineLevel="2" x14ac:dyDescent="0.35">
      <c r="A159" s="19" t="s">
        <v>551</v>
      </c>
      <c r="B159" s="19" t="s">
        <v>636</v>
      </c>
      <c r="C159" s="19" t="s">
        <v>594</v>
      </c>
      <c r="D159" s="19">
        <v>2019</v>
      </c>
      <c r="E159" s="19" t="s">
        <v>554</v>
      </c>
      <c r="F159" s="19">
        <v>80091342</v>
      </c>
      <c r="G159" s="19" t="s">
        <v>1138</v>
      </c>
      <c r="H159" s="19" t="s">
        <v>1139</v>
      </c>
      <c r="I159" s="19" t="s">
        <v>31</v>
      </c>
      <c r="J159" s="20">
        <v>1</v>
      </c>
      <c r="K159" s="21">
        <v>43836</v>
      </c>
      <c r="L159" s="21">
        <v>43844</v>
      </c>
      <c r="M159" s="21">
        <v>43920</v>
      </c>
      <c r="N159" s="24" t="s">
        <v>2448</v>
      </c>
      <c r="O159" s="19" t="s">
        <v>557</v>
      </c>
      <c r="Q159" s="19" t="s">
        <v>569</v>
      </c>
      <c r="R159" s="19" t="s">
        <v>570</v>
      </c>
      <c r="S159" s="19" t="s">
        <v>1140</v>
      </c>
      <c r="T159" t="s">
        <v>33</v>
      </c>
      <c r="U159" s="22">
        <v>3779.78</v>
      </c>
      <c r="V159" s="22">
        <v>0</v>
      </c>
      <c r="W159" s="22">
        <v>210.78</v>
      </c>
      <c r="X159" s="22">
        <v>0</v>
      </c>
      <c r="Y159" s="22">
        <v>67.67</v>
      </c>
      <c r="Z159" s="22">
        <v>0</v>
      </c>
      <c r="AA159" s="22">
        <v>0</v>
      </c>
      <c r="AB159" s="22">
        <v>0</v>
      </c>
      <c r="AC159" s="22">
        <v>0</v>
      </c>
      <c r="AD159" s="22">
        <v>0</v>
      </c>
      <c r="AE159" s="22">
        <v>4058.23</v>
      </c>
      <c r="AF159" s="22">
        <f t="shared" si="2"/>
        <v>4058.23</v>
      </c>
      <c r="AG159" s="22">
        <v>0</v>
      </c>
      <c r="AH159" s="22">
        <v>4058.23</v>
      </c>
      <c r="AI159" t="s">
        <v>562</v>
      </c>
      <c r="AJ159" t="s">
        <v>563</v>
      </c>
    </row>
    <row r="160" spans="1:36" ht="43.5" outlineLevel="2" x14ac:dyDescent="0.35">
      <c r="A160" s="19" t="s">
        <v>551</v>
      </c>
      <c r="B160" s="19" t="s">
        <v>672</v>
      </c>
      <c r="C160" s="19" t="s">
        <v>673</v>
      </c>
      <c r="D160" s="19">
        <v>2019</v>
      </c>
      <c r="E160" s="19" t="s">
        <v>554</v>
      </c>
      <c r="F160" s="19">
        <v>80091356</v>
      </c>
      <c r="G160" s="19" t="s">
        <v>1141</v>
      </c>
      <c r="H160" s="19" t="s">
        <v>1142</v>
      </c>
      <c r="I160" s="19" t="s">
        <v>31</v>
      </c>
      <c r="J160" s="20">
        <v>1</v>
      </c>
      <c r="K160" s="21">
        <v>43826</v>
      </c>
      <c r="L160" s="21">
        <v>43826</v>
      </c>
      <c r="M160" s="21">
        <v>44956</v>
      </c>
      <c r="N160" s="24" t="s">
        <v>2448</v>
      </c>
      <c r="O160" s="19" t="s">
        <v>557</v>
      </c>
      <c r="P160" s="19" t="s">
        <v>665</v>
      </c>
      <c r="Q160" s="19" t="s">
        <v>1143</v>
      </c>
      <c r="R160" s="19" t="s">
        <v>616</v>
      </c>
      <c r="S160" s="19" t="s">
        <v>1144</v>
      </c>
      <c r="T160" t="s">
        <v>51</v>
      </c>
      <c r="U160" s="22">
        <v>0</v>
      </c>
      <c r="V160" s="22">
        <v>0</v>
      </c>
      <c r="W160" s="22">
        <v>5008.0200000000004</v>
      </c>
      <c r="X160" s="22">
        <v>0</v>
      </c>
      <c r="Y160" s="22">
        <v>1273</v>
      </c>
      <c r="Z160" s="22">
        <v>0</v>
      </c>
      <c r="AA160" s="22">
        <v>0</v>
      </c>
      <c r="AB160" s="22">
        <v>0</v>
      </c>
      <c r="AC160" s="22">
        <v>0</v>
      </c>
      <c r="AD160" s="22">
        <v>0</v>
      </c>
      <c r="AE160" s="22">
        <v>6281.02</v>
      </c>
      <c r="AF160" s="22">
        <f t="shared" si="2"/>
        <v>6281.02</v>
      </c>
      <c r="AG160" s="22">
        <v>0</v>
      </c>
      <c r="AH160" s="22">
        <v>6281.02</v>
      </c>
      <c r="AI160" t="s">
        <v>562</v>
      </c>
      <c r="AJ160" t="s">
        <v>563</v>
      </c>
    </row>
    <row r="161" spans="1:36" ht="43.5" outlineLevel="2" x14ac:dyDescent="0.35">
      <c r="A161" s="19" t="s">
        <v>551</v>
      </c>
      <c r="B161" s="19" t="s">
        <v>986</v>
      </c>
      <c r="C161" s="19" t="s">
        <v>553</v>
      </c>
      <c r="D161" s="19">
        <v>2019</v>
      </c>
      <c r="E161" s="19" t="s">
        <v>554</v>
      </c>
      <c r="F161" s="19">
        <v>80091332</v>
      </c>
      <c r="G161" s="19" t="s">
        <v>1145</v>
      </c>
      <c r="H161" s="19" t="s">
        <v>1146</v>
      </c>
      <c r="I161" s="19" t="s">
        <v>31</v>
      </c>
      <c r="J161" s="20">
        <v>1</v>
      </c>
      <c r="K161" s="21">
        <v>43825</v>
      </c>
      <c r="L161" s="21">
        <v>43829</v>
      </c>
      <c r="M161" s="21">
        <v>43927</v>
      </c>
      <c r="N161" s="24" t="s">
        <v>2448</v>
      </c>
      <c r="O161" s="19" t="s">
        <v>557</v>
      </c>
      <c r="P161" s="19" t="s">
        <v>576</v>
      </c>
      <c r="Q161" s="19" t="s">
        <v>639</v>
      </c>
      <c r="R161" s="19" t="s">
        <v>670</v>
      </c>
      <c r="S161" s="19" t="s">
        <v>1147</v>
      </c>
      <c r="T161" t="s">
        <v>169</v>
      </c>
      <c r="U161" s="22">
        <v>0</v>
      </c>
      <c r="V161" s="22">
        <v>0</v>
      </c>
      <c r="W161" s="22">
        <v>529.26</v>
      </c>
      <c r="X161" s="22">
        <v>0</v>
      </c>
      <c r="Y161" s="22">
        <v>61.23</v>
      </c>
      <c r="Z161" s="22">
        <v>0</v>
      </c>
      <c r="AA161" s="22">
        <v>0</v>
      </c>
      <c r="AB161" s="22">
        <v>0</v>
      </c>
      <c r="AC161" s="22">
        <v>0</v>
      </c>
      <c r="AD161" s="22">
        <v>0</v>
      </c>
      <c r="AE161" s="22">
        <v>590.49</v>
      </c>
      <c r="AF161" s="22">
        <f t="shared" si="2"/>
        <v>590.49</v>
      </c>
      <c r="AG161" s="22">
        <v>0</v>
      </c>
      <c r="AH161" s="22">
        <v>590.49</v>
      </c>
      <c r="AI161" t="s">
        <v>562</v>
      </c>
      <c r="AJ161" t="s">
        <v>563</v>
      </c>
    </row>
    <row r="162" spans="1:36" ht="58" outlineLevel="2" x14ac:dyDescent="0.35">
      <c r="A162" s="19" t="s">
        <v>551</v>
      </c>
      <c r="B162" s="19" t="s">
        <v>636</v>
      </c>
      <c r="C162" s="19" t="s">
        <v>594</v>
      </c>
      <c r="D162" s="19">
        <v>2019</v>
      </c>
      <c r="E162" s="19" t="s">
        <v>554</v>
      </c>
      <c r="F162" s="19">
        <v>80091334</v>
      </c>
      <c r="G162" s="19" t="s">
        <v>1148</v>
      </c>
      <c r="H162" s="19" t="s">
        <v>1149</v>
      </c>
      <c r="I162" s="19" t="s">
        <v>31</v>
      </c>
      <c r="J162" s="20">
        <v>1</v>
      </c>
      <c r="K162" s="21">
        <v>43808</v>
      </c>
      <c r="L162" s="21">
        <v>43811</v>
      </c>
      <c r="M162" s="21">
        <v>43893</v>
      </c>
      <c r="N162" s="24" t="s">
        <v>2448</v>
      </c>
      <c r="O162" s="19" t="s">
        <v>557</v>
      </c>
      <c r="P162" s="19" t="s">
        <v>665</v>
      </c>
      <c r="Q162" s="19" t="s">
        <v>569</v>
      </c>
      <c r="R162" s="19" t="s">
        <v>570</v>
      </c>
      <c r="S162" s="19" t="s">
        <v>1150</v>
      </c>
      <c r="T162" t="s">
        <v>33</v>
      </c>
      <c r="U162" s="22">
        <v>0</v>
      </c>
      <c r="V162" s="22">
        <v>0</v>
      </c>
      <c r="W162" s="22">
        <v>759.04</v>
      </c>
      <c r="X162" s="22">
        <v>0</v>
      </c>
      <c r="Y162" s="22">
        <v>57</v>
      </c>
      <c r="Z162" s="22">
        <v>0</v>
      </c>
      <c r="AA162" s="22">
        <v>0</v>
      </c>
      <c r="AB162" s="22">
        <v>0</v>
      </c>
      <c r="AC162" s="22">
        <v>0</v>
      </c>
      <c r="AD162" s="22">
        <v>0</v>
      </c>
      <c r="AE162" s="22">
        <v>816.04</v>
      </c>
      <c r="AF162" s="22">
        <f t="shared" si="2"/>
        <v>816.04</v>
      </c>
      <c r="AG162" s="22">
        <v>0</v>
      </c>
      <c r="AH162" s="22">
        <v>816.04</v>
      </c>
      <c r="AI162" t="s">
        <v>562</v>
      </c>
      <c r="AJ162" t="s">
        <v>563</v>
      </c>
    </row>
    <row r="163" spans="1:36" ht="58" outlineLevel="2" x14ac:dyDescent="0.35">
      <c r="A163" s="19" t="s">
        <v>551</v>
      </c>
      <c r="B163" s="19" t="s">
        <v>996</v>
      </c>
      <c r="C163" s="19" t="s">
        <v>997</v>
      </c>
      <c r="D163" s="19">
        <v>2019</v>
      </c>
      <c r="E163" s="19" t="s">
        <v>554</v>
      </c>
      <c r="F163" s="19">
        <v>80091346</v>
      </c>
      <c r="G163" s="19" t="s">
        <v>1151</v>
      </c>
      <c r="H163" s="19" t="s">
        <v>1152</v>
      </c>
      <c r="I163" s="19" t="s">
        <v>31</v>
      </c>
      <c r="J163" s="20">
        <v>1</v>
      </c>
      <c r="K163" s="21">
        <v>43806</v>
      </c>
      <c r="L163" s="21">
        <v>43815</v>
      </c>
      <c r="M163" s="21">
        <v>43913</v>
      </c>
      <c r="N163" s="24" t="s">
        <v>2448</v>
      </c>
      <c r="O163" s="19" t="s">
        <v>557</v>
      </c>
      <c r="P163" s="19" t="s">
        <v>568</v>
      </c>
      <c r="Q163" s="19" t="s">
        <v>634</v>
      </c>
      <c r="R163" s="19" t="s">
        <v>616</v>
      </c>
      <c r="S163" s="19" t="s">
        <v>1153</v>
      </c>
      <c r="T163" t="s">
        <v>51</v>
      </c>
      <c r="U163" s="22">
        <v>0</v>
      </c>
      <c r="V163" s="22">
        <v>0</v>
      </c>
      <c r="W163" s="22">
        <v>302.35000000000002</v>
      </c>
      <c r="X163" s="22">
        <v>0</v>
      </c>
      <c r="Y163" s="22">
        <v>49.63</v>
      </c>
      <c r="Z163" s="22">
        <v>0</v>
      </c>
      <c r="AA163" s="22">
        <v>0</v>
      </c>
      <c r="AB163" s="22">
        <v>0</v>
      </c>
      <c r="AC163" s="22">
        <v>0</v>
      </c>
      <c r="AD163" s="22">
        <v>0</v>
      </c>
      <c r="AE163" s="22">
        <v>351.98</v>
      </c>
      <c r="AF163" s="22">
        <f t="shared" si="2"/>
        <v>351.98</v>
      </c>
      <c r="AG163" s="22">
        <v>0</v>
      </c>
      <c r="AH163" s="22">
        <v>351.98</v>
      </c>
      <c r="AI163" t="s">
        <v>562</v>
      </c>
      <c r="AJ163" t="s">
        <v>563</v>
      </c>
    </row>
    <row r="164" spans="1:36" ht="43.5" outlineLevel="2" x14ac:dyDescent="0.35">
      <c r="A164" s="19" t="s">
        <v>551</v>
      </c>
      <c r="B164" s="19" t="s">
        <v>636</v>
      </c>
      <c r="C164" s="19" t="s">
        <v>594</v>
      </c>
      <c r="D164" s="19">
        <v>2019</v>
      </c>
      <c r="E164" s="19" t="s">
        <v>554</v>
      </c>
      <c r="F164" s="19">
        <v>80091329</v>
      </c>
      <c r="G164" s="19" t="s">
        <v>1154</v>
      </c>
      <c r="H164" s="19" t="s">
        <v>1155</v>
      </c>
      <c r="I164" s="19" t="s">
        <v>31</v>
      </c>
      <c r="J164" s="20">
        <v>1</v>
      </c>
      <c r="K164" s="21">
        <v>43805</v>
      </c>
      <c r="L164" s="21">
        <v>43809</v>
      </c>
      <c r="M164" s="21">
        <v>43957</v>
      </c>
      <c r="N164" s="24" t="s">
        <v>2448</v>
      </c>
      <c r="O164" s="19" t="s">
        <v>557</v>
      </c>
      <c r="P164" s="19" t="s">
        <v>568</v>
      </c>
      <c r="Q164" s="19" t="s">
        <v>649</v>
      </c>
      <c r="R164" s="19" t="s">
        <v>570</v>
      </c>
      <c r="S164" s="19" t="s">
        <v>1156</v>
      </c>
      <c r="T164" t="s">
        <v>33</v>
      </c>
      <c r="U164" s="22">
        <v>0</v>
      </c>
      <c r="V164" s="22">
        <v>0</v>
      </c>
      <c r="W164" s="22">
        <v>346.74</v>
      </c>
      <c r="X164" s="22">
        <v>0</v>
      </c>
      <c r="Y164" s="22">
        <v>72.45</v>
      </c>
      <c r="Z164" s="22">
        <v>0</v>
      </c>
      <c r="AA164" s="22">
        <v>0</v>
      </c>
      <c r="AB164" s="22">
        <v>-9.67</v>
      </c>
      <c r="AC164" s="22">
        <v>0</v>
      </c>
      <c r="AD164" s="22">
        <v>0</v>
      </c>
      <c r="AE164" s="22">
        <v>419.19</v>
      </c>
      <c r="AF164" s="22">
        <f t="shared" si="2"/>
        <v>409.52</v>
      </c>
      <c r="AG164" s="22">
        <v>0</v>
      </c>
      <c r="AH164" s="22">
        <v>409.52</v>
      </c>
      <c r="AI164" t="s">
        <v>562</v>
      </c>
      <c r="AJ164" t="s">
        <v>563</v>
      </c>
    </row>
    <row r="165" spans="1:36" ht="72.5" outlineLevel="2" x14ac:dyDescent="0.35">
      <c r="A165" s="19" t="s">
        <v>551</v>
      </c>
      <c r="B165" s="19" t="s">
        <v>599</v>
      </c>
      <c r="C165" s="19" t="s">
        <v>600</v>
      </c>
      <c r="D165" s="19">
        <v>2019</v>
      </c>
      <c r="E165" s="19" t="s">
        <v>554</v>
      </c>
      <c r="F165" s="19">
        <v>80091339</v>
      </c>
      <c r="G165" s="19" t="s">
        <v>1157</v>
      </c>
      <c r="H165" s="19" t="s">
        <v>1158</v>
      </c>
      <c r="I165" s="19" t="s">
        <v>31</v>
      </c>
      <c r="J165" s="20">
        <v>1</v>
      </c>
      <c r="K165" s="21">
        <v>43794</v>
      </c>
      <c r="L165" s="21">
        <v>43796</v>
      </c>
      <c r="M165" s="21">
        <v>44291</v>
      </c>
      <c r="N165" s="24" t="s">
        <v>2448</v>
      </c>
      <c r="O165" s="19" t="s">
        <v>557</v>
      </c>
      <c r="P165" s="19" t="s">
        <v>609</v>
      </c>
      <c r="Q165" s="19" t="s">
        <v>634</v>
      </c>
      <c r="R165" s="19" t="s">
        <v>616</v>
      </c>
      <c r="S165" s="19" t="s">
        <v>1159</v>
      </c>
      <c r="T165" t="s">
        <v>51</v>
      </c>
      <c r="U165" s="22">
        <v>0</v>
      </c>
      <c r="V165" s="22">
        <v>0</v>
      </c>
      <c r="W165" s="22">
        <v>1625.45</v>
      </c>
      <c r="X165" s="22">
        <v>0</v>
      </c>
      <c r="Y165" s="22">
        <v>149.37</v>
      </c>
      <c r="Z165" s="22">
        <v>0</v>
      </c>
      <c r="AA165" s="22">
        <v>0</v>
      </c>
      <c r="AB165" s="22">
        <v>-17.88</v>
      </c>
      <c r="AC165" s="22">
        <v>0</v>
      </c>
      <c r="AD165" s="22">
        <v>0</v>
      </c>
      <c r="AE165" s="22">
        <v>1774.82</v>
      </c>
      <c r="AF165" s="22">
        <f t="shared" si="2"/>
        <v>1756.9399999999998</v>
      </c>
      <c r="AG165" s="22">
        <v>0</v>
      </c>
      <c r="AH165" s="22">
        <v>1756.94</v>
      </c>
      <c r="AI165" t="s">
        <v>562</v>
      </c>
      <c r="AJ165" t="s">
        <v>563</v>
      </c>
    </row>
    <row r="166" spans="1:36" ht="58" outlineLevel="2" x14ac:dyDescent="0.35">
      <c r="A166" s="19" t="s">
        <v>551</v>
      </c>
      <c r="B166" s="19" t="s">
        <v>1001</v>
      </c>
      <c r="C166" s="19" t="s">
        <v>1002</v>
      </c>
      <c r="D166" s="19">
        <v>2019</v>
      </c>
      <c r="E166" s="19" t="s">
        <v>554</v>
      </c>
      <c r="F166" s="19">
        <v>80091385</v>
      </c>
      <c r="G166" s="19" t="s">
        <v>1160</v>
      </c>
      <c r="H166" s="19" t="s">
        <v>1161</v>
      </c>
      <c r="I166" s="19" t="s">
        <v>31</v>
      </c>
      <c r="J166" s="20">
        <v>1</v>
      </c>
      <c r="K166" s="21">
        <v>43790</v>
      </c>
      <c r="L166" s="21">
        <v>43805</v>
      </c>
      <c r="M166" s="21">
        <v>43923</v>
      </c>
      <c r="N166" s="24" t="s">
        <v>2448</v>
      </c>
      <c r="O166" s="19" t="s">
        <v>557</v>
      </c>
      <c r="P166" s="19" t="s">
        <v>568</v>
      </c>
      <c r="Q166" s="19" t="s">
        <v>569</v>
      </c>
      <c r="R166" s="19" t="s">
        <v>570</v>
      </c>
      <c r="S166" s="19" t="s">
        <v>1162</v>
      </c>
      <c r="T166" t="s">
        <v>51</v>
      </c>
      <c r="U166" s="22">
        <v>0</v>
      </c>
      <c r="V166" s="22">
        <v>0</v>
      </c>
      <c r="W166" s="22">
        <v>2105.34</v>
      </c>
      <c r="X166" s="22">
        <v>0</v>
      </c>
      <c r="Y166" s="22">
        <v>646.49</v>
      </c>
      <c r="Z166" s="22">
        <v>0</v>
      </c>
      <c r="AA166" s="22">
        <v>0</v>
      </c>
      <c r="AB166" s="22">
        <v>0</v>
      </c>
      <c r="AC166" s="22">
        <v>0</v>
      </c>
      <c r="AD166" s="22">
        <v>0</v>
      </c>
      <c r="AE166" s="22">
        <v>2751.83</v>
      </c>
      <c r="AF166" s="22">
        <f t="shared" si="2"/>
        <v>2751.83</v>
      </c>
      <c r="AG166" s="22">
        <v>0</v>
      </c>
      <c r="AH166" s="22">
        <v>2751.83</v>
      </c>
      <c r="AI166" t="s">
        <v>562</v>
      </c>
      <c r="AJ166" t="s">
        <v>563</v>
      </c>
    </row>
    <row r="167" spans="1:36" ht="43.5" outlineLevel="2" x14ac:dyDescent="0.35">
      <c r="A167" s="19" t="s">
        <v>551</v>
      </c>
      <c r="B167" s="19" t="s">
        <v>794</v>
      </c>
      <c r="C167" s="19" t="s">
        <v>749</v>
      </c>
      <c r="D167" s="19">
        <v>2019</v>
      </c>
      <c r="E167" s="19" t="s">
        <v>554</v>
      </c>
      <c r="F167" s="19">
        <v>80091349</v>
      </c>
      <c r="G167" s="19" t="s">
        <v>1163</v>
      </c>
      <c r="H167" s="19" t="s">
        <v>1164</v>
      </c>
      <c r="I167" s="19" t="s">
        <v>31</v>
      </c>
      <c r="J167" s="20">
        <v>1</v>
      </c>
      <c r="K167" s="21">
        <v>43788</v>
      </c>
      <c r="L167" s="21">
        <v>43819</v>
      </c>
      <c r="M167" s="21">
        <v>43907</v>
      </c>
      <c r="N167" s="24" t="s">
        <v>2448</v>
      </c>
      <c r="O167" s="19" t="s">
        <v>557</v>
      </c>
      <c r="P167" s="19" t="s">
        <v>568</v>
      </c>
      <c r="Q167" s="19" t="s">
        <v>864</v>
      </c>
      <c r="R167" s="19" t="s">
        <v>570</v>
      </c>
      <c r="S167" s="19" t="s">
        <v>1165</v>
      </c>
      <c r="T167" t="s">
        <v>212</v>
      </c>
      <c r="U167" s="22">
        <v>0</v>
      </c>
      <c r="V167" s="22">
        <v>0</v>
      </c>
      <c r="W167" s="22">
        <v>505.02</v>
      </c>
      <c r="X167" s="22">
        <v>0</v>
      </c>
      <c r="Y167" s="22">
        <v>57.08</v>
      </c>
      <c r="Z167" s="22">
        <v>0</v>
      </c>
      <c r="AA167" s="22">
        <v>0</v>
      </c>
      <c r="AB167" s="22">
        <v>0</v>
      </c>
      <c r="AC167" s="22">
        <v>0</v>
      </c>
      <c r="AD167" s="22">
        <v>0</v>
      </c>
      <c r="AE167" s="22">
        <v>562.1</v>
      </c>
      <c r="AF167" s="22">
        <f t="shared" si="2"/>
        <v>562.1</v>
      </c>
      <c r="AG167" s="22">
        <v>0</v>
      </c>
      <c r="AH167" s="22">
        <v>562.1</v>
      </c>
      <c r="AI167" t="s">
        <v>562</v>
      </c>
      <c r="AJ167" t="s">
        <v>563</v>
      </c>
    </row>
    <row r="168" spans="1:36" ht="43.5" outlineLevel="2" x14ac:dyDescent="0.35">
      <c r="A168" s="19" t="s">
        <v>551</v>
      </c>
      <c r="B168" s="19" t="s">
        <v>1083</v>
      </c>
      <c r="C168" s="19" t="s">
        <v>741</v>
      </c>
      <c r="D168" s="19">
        <v>2019</v>
      </c>
      <c r="E168" s="19" t="s">
        <v>554</v>
      </c>
      <c r="F168" s="19">
        <v>80091368</v>
      </c>
      <c r="G168" s="19" t="s">
        <v>1166</v>
      </c>
      <c r="H168" s="19" t="s">
        <v>1167</v>
      </c>
      <c r="I168" s="19" t="s">
        <v>31</v>
      </c>
      <c r="J168" s="20">
        <v>1</v>
      </c>
      <c r="K168" s="21">
        <v>43788</v>
      </c>
      <c r="L168" s="21">
        <v>43962</v>
      </c>
      <c r="M168" s="21">
        <v>44791</v>
      </c>
      <c r="N168" s="24" t="s">
        <v>2448</v>
      </c>
      <c r="O168" s="19" t="s">
        <v>557</v>
      </c>
      <c r="P168" s="19" t="s">
        <v>665</v>
      </c>
      <c r="Q168" s="19" t="s">
        <v>569</v>
      </c>
      <c r="R168" s="19" t="s">
        <v>570</v>
      </c>
      <c r="S168" s="19" t="s">
        <v>1168</v>
      </c>
      <c r="T168" t="s">
        <v>45</v>
      </c>
      <c r="U168" s="22">
        <v>0</v>
      </c>
      <c r="V168" s="22">
        <v>0</v>
      </c>
      <c r="W168" s="22">
        <v>474.13</v>
      </c>
      <c r="X168" s="22">
        <v>0</v>
      </c>
      <c r="Y168" s="22">
        <v>19</v>
      </c>
      <c r="Z168" s="22">
        <v>0</v>
      </c>
      <c r="AA168" s="22">
        <v>0</v>
      </c>
      <c r="AB168" s="22">
        <v>0</v>
      </c>
      <c r="AC168" s="22">
        <v>0</v>
      </c>
      <c r="AD168" s="22">
        <v>0</v>
      </c>
      <c r="AE168" s="22">
        <v>493.13</v>
      </c>
      <c r="AF168" s="22">
        <f t="shared" si="2"/>
        <v>493.13</v>
      </c>
      <c r="AG168" s="22">
        <v>0</v>
      </c>
      <c r="AH168" s="22">
        <v>493.13</v>
      </c>
      <c r="AI168" t="s">
        <v>562</v>
      </c>
      <c r="AJ168" t="s">
        <v>563</v>
      </c>
    </row>
    <row r="169" spans="1:36" ht="58" outlineLevel="2" x14ac:dyDescent="0.35">
      <c r="A169" s="19" t="s">
        <v>551</v>
      </c>
      <c r="B169" s="19" t="s">
        <v>996</v>
      </c>
      <c r="C169" s="19" t="s">
        <v>997</v>
      </c>
      <c r="D169" s="19">
        <v>2019</v>
      </c>
      <c r="E169" s="19" t="s">
        <v>554</v>
      </c>
      <c r="F169" s="19">
        <v>80091323</v>
      </c>
      <c r="G169" s="19" t="s">
        <v>1169</v>
      </c>
      <c r="H169" s="19" t="s">
        <v>1170</v>
      </c>
      <c r="I169" s="19" t="s">
        <v>31</v>
      </c>
      <c r="J169" s="20">
        <v>1</v>
      </c>
      <c r="K169" s="21">
        <v>43778</v>
      </c>
      <c r="L169" s="21">
        <v>43782</v>
      </c>
      <c r="M169" s="21">
        <v>44291</v>
      </c>
      <c r="N169" s="24" t="s">
        <v>2448</v>
      </c>
      <c r="O169" s="19" t="s">
        <v>557</v>
      </c>
      <c r="P169" s="19" t="s">
        <v>665</v>
      </c>
      <c r="Q169" s="19" t="s">
        <v>569</v>
      </c>
      <c r="R169" s="19" t="s">
        <v>570</v>
      </c>
      <c r="S169" s="19" t="s">
        <v>1171</v>
      </c>
      <c r="T169" t="s">
        <v>51</v>
      </c>
      <c r="U169" s="22">
        <v>0</v>
      </c>
      <c r="V169" s="22">
        <v>0</v>
      </c>
      <c r="W169" s="22">
        <v>1561.57</v>
      </c>
      <c r="X169" s="22">
        <v>0</v>
      </c>
      <c r="Y169" s="22">
        <v>1058.77</v>
      </c>
      <c r="Z169" s="22">
        <v>0</v>
      </c>
      <c r="AA169" s="22">
        <v>0</v>
      </c>
      <c r="AB169" s="22">
        <v>0</v>
      </c>
      <c r="AC169" s="22">
        <v>0</v>
      </c>
      <c r="AD169" s="22">
        <v>0</v>
      </c>
      <c r="AE169" s="22">
        <v>2620.34</v>
      </c>
      <c r="AF169" s="22">
        <f t="shared" si="2"/>
        <v>2620.34</v>
      </c>
      <c r="AG169" s="22">
        <v>0</v>
      </c>
      <c r="AH169" s="22">
        <v>2620.34</v>
      </c>
      <c r="AI169" t="s">
        <v>562</v>
      </c>
      <c r="AJ169" t="s">
        <v>563</v>
      </c>
    </row>
    <row r="170" spans="1:36" ht="29" outlineLevel="2" x14ac:dyDescent="0.35">
      <c r="A170" s="19" t="s">
        <v>551</v>
      </c>
      <c r="B170" s="19" t="s">
        <v>636</v>
      </c>
      <c r="C170" s="19" t="s">
        <v>594</v>
      </c>
      <c r="D170" s="19">
        <v>2019</v>
      </c>
      <c r="E170" s="19" t="s">
        <v>554</v>
      </c>
      <c r="F170" s="19">
        <v>80091399</v>
      </c>
      <c r="G170" s="19" t="s">
        <v>1172</v>
      </c>
      <c r="H170" s="19" t="s">
        <v>1173</v>
      </c>
      <c r="I170" s="19" t="s">
        <v>31</v>
      </c>
      <c r="J170" s="20">
        <v>1</v>
      </c>
      <c r="K170" s="21">
        <v>43777</v>
      </c>
      <c r="L170" s="21">
        <v>43782</v>
      </c>
      <c r="M170" s="21">
        <v>44291</v>
      </c>
      <c r="N170" s="24" t="s">
        <v>2448</v>
      </c>
      <c r="O170" s="19" t="s">
        <v>557</v>
      </c>
      <c r="P170" s="19" t="s">
        <v>665</v>
      </c>
      <c r="Q170" s="19" t="s">
        <v>634</v>
      </c>
      <c r="R170" s="19" t="s">
        <v>616</v>
      </c>
      <c r="S170" s="19" t="s">
        <v>1174</v>
      </c>
      <c r="T170" t="s">
        <v>223</v>
      </c>
      <c r="U170" s="22">
        <v>0</v>
      </c>
      <c r="V170" s="22">
        <v>0</v>
      </c>
      <c r="W170" s="22">
        <v>390.66</v>
      </c>
      <c r="X170" s="22">
        <v>0</v>
      </c>
      <c r="Y170" s="22">
        <v>21.02</v>
      </c>
      <c r="Z170" s="22">
        <v>0</v>
      </c>
      <c r="AA170" s="22">
        <v>0</v>
      </c>
      <c r="AB170" s="22">
        <v>0</v>
      </c>
      <c r="AC170" s="22">
        <v>0</v>
      </c>
      <c r="AD170" s="22">
        <v>0</v>
      </c>
      <c r="AE170" s="22">
        <v>411.68</v>
      </c>
      <c r="AF170" s="22">
        <f t="shared" si="2"/>
        <v>411.68</v>
      </c>
      <c r="AG170" s="22">
        <v>0</v>
      </c>
      <c r="AH170" s="22">
        <v>411.68</v>
      </c>
      <c r="AI170" t="s">
        <v>562</v>
      </c>
      <c r="AJ170" t="s">
        <v>563</v>
      </c>
    </row>
    <row r="171" spans="1:36" ht="58" outlineLevel="2" x14ac:dyDescent="0.35">
      <c r="A171" s="19" t="s">
        <v>551</v>
      </c>
      <c r="B171" s="19" t="s">
        <v>996</v>
      </c>
      <c r="C171" s="19" t="s">
        <v>997</v>
      </c>
      <c r="D171" s="19">
        <v>2019</v>
      </c>
      <c r="E171" s="19" t="s">
        <v>554</v>
      </c>
      <c r="F171" s="19">
        <v>80082757</v>
      </c>
      <c r="G171" s="19" t="s">
        <v>1175</v>
      </c>
      <c r="H171" s="19" t="s">
        <v>1176</v>
      </c>
      <c r="I171" s="19" t="s">
        <v>687</v>
      </c>
      <c r="J171" s="20">
        <v>1</v>
      </c>
      <c r="K171" s="21">
        <v>43767</v>
      </c>
      <c r="L171" s="21">
        <v>43767</v>
      </c>
      <c r="N171" s="24" t="s">
        <v>2448</v>
      </c>
      <c r="O171" s="19" t="s">
        <v>557</v>
      </c>
      <c r="P171" s="19" t="s">
        <v>568</v>
      </c>
      <c r="Q171" s="19" t="s">
        <v>816</v>
      </c>
      <c r="R171" s="19" t="s">
        <v>591</v>
      </c>
      <c r="S171" s="19" t="s">
        <v>1177</v>
      </c>
      <c r="T171" t="s">
        <v>51</v>
      </c>
      <c r="U171" s="22">
        <v>78870.759999999995</v>
      </c>
      <c r="V171" s="22">
        <v>79332.240000000005</v>
      </c>
      <c r="W171" s="22">
        <v>68360.38</v>
      </c>
      <c r="X171" s="22">
        <v>177323.4</v>
      </c>
      <c r="Y171" s="22">
        <v>65009.85</v>
      </c>
      <c r="Z171" s="22">
        <v>18818.43</v>
      </c>
      <c r="AA171" s="22">
        <v>0</v>
      </c>
      <c r="AB171" s="22">
        <v>-1638.06</v>
      </c>
      <c r="AC171" s="22">
        <v>0</v>
      </c>
      <c r="AD171" s="22">
        <v>-9790.64</v>
      </c>
      <c r="AE171" s="22">
        <v>212240.99</v>
      </c>
      <c r="AF171" s="22">
        <f t="shared" si="2"/>
        <v>210602.93</v>
      </c>
      <c r="AG171" s="22">
        <v>275474.07</v>
      </c>
      <c r="AH171" s="22">
        <v>486077</v>
      </c>
      <c r="AI171" t="s">
        <v>562</v>
      </c>
      <c r="AJ171" t="s">
        <v>563</v>
      </c>
    </row>
    <row r="172" spans="1:36" ht="43.5" outlineLevel="2" x14ac:dyDescent="0.35">
      <c r="A172" s="19" t="s">
        <v>551</v>
      </c>
      <c r="B172" s="19" t="s">
        <v>621</v>
      </c>
      <c r="C172" s="19" t="s">
        <v>622</v>
      </c>
      <c r="D172" s="19">
        <v>2019</v>
      </c>
      <c r="E172" s="19" t="s">
        <v>554</v>
      </c>
      <c r="F172" s="19">
        <v>80091336</v>
      </c>
      <c r="G172" s="19" t="s">
        <v>1178</v>
      </c>
      <c r="H172" s="19" t="s">
        <v>1179</v>
      </c>
      <c r="I172" s="19" t="s">
        <v>31</v>
      </c>
      <c r="J172" s="20">
        <v>1</v>
      </c>
      <c r="K172" s="21">
        <v>43766</v>
      </c>
      <c r="L172" s="21">
        <v>43766</v>
      </c>
      <c r="M172" s="21">
        <v>43917</v>
      </c>
      <c r="N172" s="24" t="s">
        <v>2448</v>
      </c>
      <c r="O172" s="19" t="s">
        <v>557</v>
      </c>
      <c r="P172" s="19" t="s">
        <v>568</v>
      </c>
      <c r="Q172" s="19" t="s">
        <v>584</v>
      </c>
      <c r="R172" s="19" t="s">
        <v>591</v>
      </c>
      <c r="S172" s="19" t="s">
        <v>1180</v>
      </c>
      <c r="T172" t="s">
        <v>69</v>
      </c>
      <c r="U172" s="22">
        <v>8148</v>
      </c>
      <c r="V172" s="22">
        <v>0</v>
      </c>
      <c r="W172" s="22">
        <v>4233.25</v>
      </c>
      <c r="X172" s="22">
        <v>0</v>
      </c>
      <c r="Y172" s="22">
        <v>2145.5</v>
      </c>
      <c r="Z172" s="22">
        <v>0</v>
      </c>
      <c r="AA172" s="22">
        <v>0</v>
      </c>
      <c r="AB172" s="22">
        <v>-44.66</v>
      </c>
      <c r="AC172" s="22">
        <v>0</v>
      </c>
      <c r="AD172" s="22">
        <v>0</v>
      </c>
      <c r="AE172" s="22">
        <v>14526.75</v>
      </c>
      <c r="AF172" s="22">
        <f t="shared" si="2"/>
        <v>14482.09</v>
      </c>
      <c r="AG172" s="22">
        <v>0</v>
      </c>
      <c r="AH172" s="22">
        <v>14482.09</v>
      </c>
      <c r="AI172" t="s">
        <v>562</v>
      </c>
      <c r="AJ172" t="s">
        <v>563</v>
      </c>
    </row>
    <row r="173" spans="1:36" ht="58" outlineLevel="2" x14ac:dyDescent="0.35">
      <c r="A173" s="19" t="s">
        <v>551</v>
      </c>
      <c r="B173" s="19" t="s">
        <v>636</v>
      </c>
      <c r="C173" s="19" t="s">
        <v>594</v>
      </c>
      <c r="D173" s="19">
        <v>2019</v>
      </c>
      <c r="E173" s="19" t="s">
        <v>554</v>
      </c>
      <c r="F173" s="19">
        <v>80091306</v>
      </c>
      <c r="G173" s="19" t="s">
        <v>1181</v>
      </c>
      <c r="H173" s="19" t="s">
        <v>1182</v>
      </c>
      <c r="I173" s="19" t="s">
        <v>31</v>
      </c>
      <c r="J173" s="20">
        <v>1</v>
      </c>
      <c r="K173" s="21">
        <v>43763</v>
      </c>
      <c r="L173" s="21">
        <v>43773</v>
      </c>
      <c r="M173" s="21">
        <v>44022</v>
      </c>
      <c r="N173" s="24" t="s">
        <v>2448</v>
      </c>
      <c r="O173" s="19" t="s">
        <v>557</v>
      </c>
      <c r="P173" s="19" t="s">
        <v>665</v>
      </c>
      <c r="Q173" s="19" t="s">
        <v>569</v>
      </c>
      <c r="R173" s="19" t="s">
        <v>570</v>
      </c>
      <c r="S173" s="19" t="s">
        <v>1183</v>
      </c>
      <c r="T173" t="s">
        <v>33</v>
      </c>
      <c r="U173" s="22">
        <v>953.22</v>
      </c>
      <c r="V173" s="22">
        <v>0</v>
      </c>
      <c r="W173" s="22">
        <v>2639.43</v>
      </c>
      <c r="X173" s="22">
        <v>0</v>
      </c>
      <c r="Y173" s="22">
        <v>380.08</v>
      </c>
      <c r="Z173" s="22">
        <v>0</v>
      </c>
      <c r="AA173" s="22">
        <v>0</v>
      </c>
      <c r="AB173" s="22">
        <v>-16.989999999999998</v>
      </c>
      <c r="AC173" s="22">
        <v>0</v>
      </c>
      <c r="AD173" s="22">
        <v>0</v>
      </c>
      <c r="AE173" s="22">
        <v>3972.73</v>
      </c>
      <c r="AF173" s="22">
        <f t="shared" si="2"/>
        <v>3955.7400000000002</v>
      </c>
      <c r="AG173" s="22">
        <v>0</v>
      </c>
      <c r="AH173" s="22">
        <v>3955.74</v>
      </c>
      <c r="AI173" t="s">
        <v>562</v>
      </c>
      <c r="AJ173" t="s">
        <v>563</v>
      </c>
    </row>
    <row r="174" spans="1:36" ht="43.5" outlineLevel="2" x14ac:dyDescent="0.35">
      <c r="A174" s="19" t="s">
        <v>551</v>
      </c>
      <c r="B174" s="19" t="s">
        <v>821</v>
      </c>
      <c r="C174" s="19" t="s">
        <v>749</v>
      </c>
      <c r="D174" s="19">
        <v>2019</v>
      </c>
      <c r="E174" s="19" t="s">
        <v>554</v>
      </c>
      <c r="F174" s="19">
        <v>80091390</v>
      </c>
      <c r="G174" s="19" t="s">
        <v>1184</v>
      </c>
      <c r="H174" s="19" t="s">
        <v>1185</v>
      </c>
      <c r="I174" s="19" t="s">
        <v>31</v>
      </c>
      <c r="J174" s="20">
        <v>1</v>
      </c>
      <c r="K174" s="21">
        <v>43763</v>
      </c>
      <c r="L174" s="21">
        <v>43791</v>
      </c>
      <c r="M174" s="21">
        <v>44212</v>
      </c>
      <c r="N174" s="24" t="s">
        <v>2448</v>
      </c>
      <c r="O174" s="19" t="s">
        <v>557</v>
      </c>
      <c r="P174" s="19" t="s">
        <v>665</v>
      </c>
      <c r="Q174" s="19" t="s">
        <v>1143</v>
      </c>
      <c r="R174" s="19" t="s">
        <v>570</v>
      </c>
      <c r="S174" s="19" t="s">
        <v>1186</v>
      </c>
      <c r="T174" t="s">
        <v>121</v>
      </c>
      <c r="U174" s="22">
        <v>638.17999999999995</v>
      </c>
      <c r="V174" s="22">
        <v>0</v>
      </c>
      <c r="W174" s="22">
        <v>1082.24</v>
      </c>
      <c r="X174" s="22">
        <v>0</v>
      </c>
      <c r="Y174" s="22">
        <v>488.76</v>
      </c>
      <c r="Z174" s="22">
        <v>0</v>
      </c>
      <c r="AA174" s="22">
        <v>0</v>
      </c>
      <c r="AB174" s="22">
        <v>0</v>
      </c>
      <c r="AC174" s="22">
        <v>0</v>
      </c>
      <c r="AD174" s="22">
        <v>0</v>
      </c>
      <c r="AE174" s="22">
        <v>2209.1799999999998</v>
      </c>
      <c r="AF174" s="22">
        <f t="shared" si="2"/>
        <v>2209.1799999999998</v>
      </c>
      <c r="AG174" s="22">
        <v>0</v>
      </c>
      <c r="AH174" s="22">
        <v>2209.1799999999998</v>
      </c>
      <c r="AI174" t="s">
        <v>562</v>
      </c>
      <c r="AJ174" t="s">
        <v>563</v>
      </c>
    </row>
    <row r="175" spans="1:36" ht="43.5" outlineLevel="2" x14ac:dyDescent="0.35">
      <c r="A175" s="19" t="s">
        <v>551</v>
      </c>
      <c r="B175" s="19" t="s">
        <v>945</v>
      </c>
      <c r="C175" s="19" t="s">
        <v>946</v>
      </c>
      <c r="D175" s="19">
        <v>2019</v>
      </c>
      <c r="E175" s="19" t="s">
        <v>554</v>
      </c>
      <c r="F175" s="19">
        <v>80091341</v>
      </c>
      <c r="G175" s="19" t="s">
        <v>1187</v>
      </c>
      <c r="H175" s="19" t="s">
        <v>1188</v>
      </c>
      <c r="I175" s="19" t="s">
        <v>31</v>
      </c>
      <c r="J175" s="20">
        <v>1</v>
      </c>
      <c r="K175" s="21">
        <v>43762</v>
      </c>
      <c r="L175" s="21">
        <v>43783</v>
      </c>
      <c r="M175" s="21">
        <v>44399</v>
      </c>
      <c r="N175" s="24" t="s">
        <v>2448</v>
      </c>
      <c r="O175" s="19" t="s">
        <v>557</v>
      </c>
      <c r="P175" s="19" t="s">
        <v>568</v>
      </c>
      <c r="Q175" s="19" t="s">
        <v>584</v>
      </c>
      <c r="R175" s="19" t="s">
        <v>650</v>
      </c>
      <c r="S175" s="19" t="s">
        <v>1189</v>
      </c>
      <c r="T175" t="s">
        <v>51</v>
      </c>
      <c r="U175" s="22">
        <v>0</v>
      </c>
      <c r="V175" s="22">
        <v>0</v>
      </c>
      <c r="W175" s="22">
        <v>1069.75</v>
      </c>
      <c r="X175" s="22">
        <v>0</v>
      </c>
      <c r="Y175" s="22">
        <v>121.5</v>
      </c>
      <c r="Z175" s="22">
        <v>0</v>
      </c>
      <c r="AA175" s="22">
        <v>0</v>
      </c>
      <c r="AB175" s="22">
        <v>-43.44</v>
      </c>
      <c r="AC175" s="22">
        <v>0</v>
      </c>
      <c r="AD175" s="22">
        <v>0</v>
      </c>
      <c r="AE175" s="22">
        <v>1191.25</v>
      </c>
      <c r="AF175" s="22">
        <f t="shared" si="2"/>
        <v>1147.81</v>
      </c>
      <c r="AG175" s="22">
        <v>0</v>
      </c>
      <c r="AH175" s="22">
        <v>1147.81</v>
      </c>
      <c r="AI175" t="s">
        <v>562</v>
      </c>
      <c r="AJ175" t="s">
        <v>563</v>
      </c>
    </row>
    <row r="176" spans="1:36" ht="58" outlineLevel="2" x14ac:dyDescent="0.35">
      <c r="A176" s="19" t="s">
        <v>551</v>
      </c>
      <c r="B176" s="19" t="s">
        <v>672</v>
      </c>
      <c r="C176" s="19" t="s">
        <v>673</v>
      </c>
      <c r="D176" s="19">
        <v>2019</v>
      </c>
      <c r="E176" s="19" t="s">
        <v>554</v>
      </c>
      <c r="F176" s="19">
        <v>80091320</v>
      </c>
      <c r="G176" s="19" t="s">
        <v>1190</v>
      </c>
      <c r="H176" s="19" t="s">
        <v>1191</v>
      </c>
      <c r="I176" s="19" t="s">
        <v>31</v>
      </c>
      <c r="J176" s="20">
        <v>1</v>
      </c>
      <c r="K176" s="21">
        <v>43761</v>
      </c>
      <c r="L176" s="21">
        <v>43767</v>
      </c>
      <c r="M176" s="21">
        <v>44291</v>
      </c>
      <c r="N176" s="24" t="s">
        <v>2448</v>
      </c>
      <c r="O176" s="19" t="s">
        <v>557</v>
      </c>
      <c r="P176" s="19" t="s">
        <v>576</v>
      </c>
      <c r="Q176" s="19" t="s">
        <v>639</v>
      </c>
      <c r="R176" s="19" t="s">
        <v>650</v>
      </c>
      <c r="S176" s="19" t="s">
        <v>1192</v>
      </c>
      <c r="T176" t="s">
        <v>51</v>
      </c>
      <c r="U176" s="22">
        <v>0</v>
      </c>
      <c r="V176" s="22">
        <v>0</v>
      </c>
      <c r="W176" s="22">
        <v>414.42</v>
      </c>
      <c r="X176" s="22">
        <v>0</v>
      </c>
      <c r="Y176" s="22">
        <v>90.34</v>
      </c>
      <c r="Z176" s="22">
        <v>0</v>
      </c>
      <c r="AA176" s="22">
        <v>0</v>
      </c>
      <c r="AB176" s="22">
        <v>-65.23</v>
      </c>
      <c r="AC176" s="22">
        <v>0</v>
      </c>
      <c r="AD176" s="22">
        <v>0</v>
      </c>
      <c r="AE176" s="22">
        <v>504.76</v>
      </c>
      <c r="AF176" s="22">
        <f t="shared" si="2"/>
        <v>439.53</v>
      </c>
      <c r="AG176" s="22">
        <v>0</v>
      </c>
      <c r="AH176" s="22">
        <v>439.53</v>
      </c>
      <c r="AI176" t="s">
        <v>562</v>
      </c>
      <c r="AJ176" t="s">
        <v>563</v>
      </c>
    </row>
    <row r="177" spans="1:36" ht="29" outlineLevel="2" x14ac:dyDescent="0.35">
      <c r="A177" s="19" t="s">
        <v>551</v>
      </c>
      <c r="B177" s="19" t="s">
        <v>636</v>
      </c>
      <c r="C177" s="19" t="s">
        <v>594</v>
      </c>
      <c r="D177" s="19">
        <v>2019</v>
      </c>
      <c r="E177" s="19" t="s">
        <v>554</v>
      </c>
      <c r="F177" s="19">
        <v>80091307</v>
      </c>
      <c r="G177" s="19" t="s">
        <v>1193</v>
      </c>
      <c r="H177" s="19" t="s">
        <v>1194</v>
      </c>
      <c r="I177" s="19" t="s">
        <v>31</v>
      </c>
      <c r="J177" s="20">
        <v>1</v>
      </c>
      <c r="K177" s="21">
        <v>43760</v>
      </c>
      <c r="L177" s="21">
        <v>43762</v>
      </c>
      <c r="M177" s="21">
        <v>44307</v>
      </c>
      <c r="N177" s="24" t="s">
        <v>2448</v>
      </c>
      <c r="O177" s="19" t="s">
        <v>557</v>
      </c>
      <c r="P177" s="19" t="s">
        <v>568</v>
      </c>
      <c r="Q177" s="19" t="s">
        <v>569</v>
      </c>
      <c r="R177" s="19" t="s">
        <v>570</v>
      </c>
      <c r="S177" s="19" t="s">
        <v>1195</v>
      </c>
      <c r="T177" t="s">
        <v>33</v>
      </c>
      <c r="U177" s="22">
        <v>0</v>
      </c>
      <c r="V177" s="22">
        <v>0</v>
      </c>
      <c r="W177" s="22">
        <v>658.68</v>
      </c>
      <c r="X177" s="22">
        <v>0</v>
      </c>
      <c r="Y177" s="22">
        <v>1944.29</v>
      </c>
      <c r="Z177" s="22">
        <v>0</v>
      </c>
      <c r="AA177" s="22">
        <v>0</v>
      </c>
      <c r="AB177" s="22">
        <v>0</v>
      </c>
      <c r="AC177" s="22">
        <v>0</v>
      </c>
      <c r="AD177" s="22">
        <v>0</v>
      </c>
      <c r="AE177" s="22">
        <v>2602.9699999999998</v>
      </c>
      <c r="AF177" s="22">
        <f t="shared" si="2"/>
        <v>2602.9699999999998</v>
      </c>
      <c r="AG177" s="22">
        <v>0</v>
      </c>
      <c r="AH177" s="22">
        <v>2602.9699999999998</v>
      </c>
      <c r="AI177" t="s">
        <v>562</v>
      </c>
      <c r="AJ177" t="s">
        <v>563</v>
      </c>
    </row>
    <row r="178" spans="1:36" ht="87" outlineLevel="2" x14ac:dyDescent="0.35">
      <c r="A178" s="19" t="s">
        <v>551</v>
      </c>
      <c r="B178" s="19" t="s">
        <v>1015</v>
      </c>
      <c r="C178" s="19" t="s">
        <v>1016</v>
      </c>
      <c r="D178" s="19">
        <v>2019</v>
      </c>
      <c r="E178" s="19" t="s">
        <v>554</v>
      </c>
      <c r="F178" s="19">
        <v>80091374</v>
      </c>
      <c r="G178" s="19" t="s">
        <v>1196</v>
      </c>
      <c r="H178" s="19" t="s">
        <v>1197</v>
      </c>
      <c r="I178" s="19" t="s">
        <v>31</v>
      </c>
      <c r="J178" s="20">
        <v>1</v>
      </c>
      <c r="K178" s="21">
        <v>43760</v>
      </c>
      <c r="L178" s="21">
        <v>43776</v>
      </c>
      <c r="M178" s="21">
        <v>44040</v>
      </c>
      <c r="N178" s="24" t="s">
        <v>2448</v>
      </c>
      <c r="O178" s="19" t="s">
        <v>557</v>
      </c>
      <c r="P178" s="19" t="s">
        <v>609</v>
      </c>
      <c r="Q178" s="19" t="s">
        <v>590</v>
      </c>
      <c r="R178" s="19" t="s">
        <v>591</v>
      </c>
      <c r="S178" s="19" t="s">
        <v>1198</v>
      </c>
      <c r="T178" t="s">
        <v>1021</v>
      </c>
      <c r="U178" s="22">
        <v>0</v>
      </c>
      <c r="V178" s="22">
        <v>0</v>
      </c>
      <c r="W178" s="22">
        <v>910.63</v>
      </c>
      <c r="X178" s="22">
        <v>0</v>
      </c>
      <c r="Y178" s="22">
        <v>89.04</v>
      </c>
      <c r="Z178" s="22">
        <v>0</v>
      </c>
      <c r="AA178" s="22">
        <v>0</v>
      </c>
      <c r="AB178" s="22">
        <v>0</v>
      </c>
      <c r="AC178" s="22">
        <v>0</v>
      </c>
      <c r="AD178" s="22">
        <v>0</v>
      </c>
      <c r="AE178" s="22">
        <v>999.67</v>
      </c>
      <c r="AF178" s="22">
        <f t="shared" si="2"/>
        <v>999.67</v>
      </c>
      <c r="AG178" s="22">
        <v>0</v>
      </c>
      <c r="AH178" s="22">
        <v>999.67</v>
      </c>
      <c r="AI178" t="s">
        <v>562</v>
      </c>
      <c r="AJ178" t="s">
        <v>563</v>
      </c>
    </row>
    <row r="179" spans="1:36" ht="58" outlineLevel="2" x14ac:dyDescent="0.35">
      <c r="A179" s="19" t="s">
        <v>551</v>
      </c>
      <c r="B179" s="19" t="s">
        <v>1025</v>
      </c>
      <c r="C179" s="19" t="s">
        <v>673</v>
      </c>
      <c r="D179" s="19">
        <v>2019</v>
      </c>
      <c r="E179" s="19" t="s">
        <v>554</v>
      </c>
      <c r="F179" s="19">
        <v>80090349</v>
      </c>
      <c r="G179" s="19" t="s">
        <v>1199</v>
      </c>
      <c r="H179" s="19" t="s">
        <v>1200</v>
      </c>
      <c r="I179" s="19" t="s">
        <v>31</v>
      </c>
      <c r="J179" s="20">
        <v>1</v>
      </c>
      <c r="K179" s="21">
        <v>43755</v>
      </c>
      <c r="L179" s="21">
        <v>43755</v>
      </c>
      <c r="M179" s="21">
        <v>44377</v>
      </c>
      <c r="N179" s="24" t="s">
        <v>2448</v>
      </c>
      <c r="O179" s="19" t="s">
        <v>557</v>
      </c>
      <c r="P179" s="19" t="s">
        <v>568</v>
      </c>
      <c r="Q179" s="19" t="s">
        <v>1201</v>
      </c>
      <c r="R179" s="19" t="s">
        <v>578</v>
      </c>
      <c r="S179" s="19" t="s">
        <v>1202</v>
      </c>
      <c r="T179" t="s">
        <v>51</v>
      </c>
      <c r="U179" s="22">
        <v>3000.83</v>
      </c>
      <c r="V179" s="22">
        <v>0</v>
      </c>
      <c r="W179" s="22">
        <v>19268.8</v>
      </c>
      <c r="X179" s="22">
        <v>0</v>
      </c>
      <c r="Y179" s="22">
        <v>17021.95</v>
      </c>
      <c r="Z179" s="22">
        <v>0</v>
      </c>
      <c r="AA179" s="22">
        <v>0</v>
      </c>
      <c r="AB179" s="22">
        <v>-9.5</v>
      </c>
      <c r="AC179" s="22">
        <v>0</v>
      </c>
      <c r="AD179" s="22">
        <v>0</v>
      </c>
      <c r="AE179" s="22">
        <v>39291.58</v>
      </c>
      <c r="AF179" s="22">
        <f t="shared" si="2"/>
        <v>39282.080000000002</v>
      </c>
      <c r="AG179" s="22">
        <v>0</v>
      </c>
      <c r="AH179" s="22">
        <v>39282.080000000002</v>
      </c>
      <c r="AI179" t="s">
        <v>562</v>
      </c>
      <c r="AJ179" t="s">
        <v>563</v>
      </c>
    </row>
    <row r="180" spans="1:36" ht="43.5" outlineLevel="2" x14ac:dyDescent="0.35">
      <c r="A180" s="19" t="s">
        <v>551</v>
      </c>
      <c r="B180" s="19" t="s">
        <v>680</v>
      </c>
      <c r="C180" s="19" t="s">
        <v>553</v>
      </c>
      <c r="D180" s="19">
        <v>2019</v>
      </c>
      <c r="E180" s="19" t="s">
        <v>554</v>
      </c>
      <c r="F180" s="19">
        <v>80091409</v>
      </c>
      <c r="G180" s="19" t="s">
        <v>1203</v>
      </c>
      <c r="H180" s="19" t="s">
        <v>1204</v>
      </c>
      <c r="I180" s="19" t="s">
        <v>31</v>
      </c>
      <c r="J180" s="20">
        <v>1</v>
      </c>
      <c r="K180" s="21">
        <v>43753</v>
      </c>
      <c r="L180" s="21">
        <v>43808</v>
      </c>
      <c r="M180" s="21">
        <v>43850</v>
      </c>
      <c r="N180" s="24" t="s">
        <v>2448</v>
      </c>
      <c r="O180" s="19" t="s">
        <v>557</v>
      </c>
      <c r="P180" s="19" t="s">
        <v>568</v>
      </c>
      <c r="Q180" s="19" t="s">
        <v>655</v>
      </c>
      <c r="R180" s="19" t="s">
        <v>578</v>
      </c>
      <c r="S180" s="19" t="s">
        <v>1205</v>
      </c>
      <c r="T180" t="s">
        <v>45</v>
      </c>
      <c r="U180" s="22">
        <v>0</v>
      </c>
      <c r="V180" s="22">
        <v>0</v>
      </c>
      <c r="W180" s="22">
        <v>1237.4100000000001</v>
      </c>
      <c r="X180" s="22">
        <v>0</v>
      </c>
      <c r="Y180" s="22">
        <v>9.5</v>
      </c>
      <c r="Z180" s="22">
        <v>0</v>
      </c>
      <c r="AA180" s="22">
        <v>0</v>
      </c>
      <c r="AB180" s="22">
        <v>0</v>
      </c>
      <c r="AC180" s="22">
        <v>0</v>
      </c>
      <c r="AD180" s="22">
        <v>0</v>
      </c>
      <c r="AE180" s="22">
        <v>1246.9100000000001</v>
      </c>
      <c r="AF180" s="22">
        <f t="shared" si="2"/>
        <v>1246.9100000000001</v>
      </c>
      <c r="AG180" s="22">
        <v>0</v>
      </c>
      <c r="AH180" s="22">
        <v>1246.9100000000001</v>
      </c>
      <c r="AI180" t="s">
        <v>562</v>
      </c>
      <c r="AJ180" t="s">
        <v>563</v>
      </c>
    </row>
    <row r="181" spans="1:36" ht="43.5" outlineLevel="2" x14ac:dyDescent="0.35">
      <c r="A181" s="19" t="s">
        <v>551</v>
      </c>
      <c r="B181" s="19" t="s">
        <v>572</v>
      </c>
      <c r="C181" s="19" t="s">
        <v>573</v>
      </c>
      <c r="D181" s="19">
        <v>2019</v>
      </c>
      <c r="E181" s="19" t="s">
        <v>554</v>
      </c>
      <c r="F181" s="19">
        <v>80091325</v>
      </c>
      <c r="G181" s="19" t="s">
        <v>1206</v>
      </c>
      <c r="H181" s="19" t="s">
        <v>1207</v>
      </c>
      <c r="I181" s="19" t="s">
        <v>31</v>
      </c>
      <c r="J181" s="20">
        <v>1</v>
      </c>
      <c r="K181" s="21">
        <v>43752</v>
      </c>
      <c r="L181" s="21">
        <v>43794</v>
      </c>
      <c r="M181" s="21">
        <v>44291</v>
      </c>
      <c r="N181" s="24" t="s">
        <v>2448</v>
      </c>
      <c r="O181" s="19" t="s">
        <v>557</v>
      </c>
      <c r="P181" s="19" t="s">
        <v>558</v>
      </c>
      <c r="Q181" s="19" t="s">
        <v>577</v>
      </c>
      <c r="R181" s="19" t="s">
        <v>570</v>
      </c>
      <c r="S181" s="19" t="s">
        <v>1208</v>
      </c>
      <c r="T181" t="s">
        <v>139</v>
      </c>
      <c r="U181" s="22">
        <v>0</v>
      </c>
      <c r="V181" s="22">
        <v>0</v>
      </c>
      <c r="W181" s="22">
        <v>392.27</v>
      </c>
      <c r="X181" s="22">
        <v>0</v>
      </c>
      <c r="Y181" s="22">
        <v>136.52000000000001</v>
      </c>
      <c r="Z181" s="22">
        <v>0</v>
      </c>
      <c r="AA181" s="22">
        <v>0</v>
      </c>
      <c r="AB181" s="22">
        <v>0</v>
      </c>
      <c r="AC181" s="22">
        <v>0</v>
      </c>
      <c r="AD181" s="22">
        <v>0</v>
      </c>
      <c r="AE181" s="22">
        <v>528.79</v>
      </c>
      <c r="AF181" s="22">
        <f t="shared" si="2"/>
        <v>528.79</v>
      </c>
      <c r="AG181" s="22">
        <v>0</v>
      </c>
      <c r="AH181" s="22">
        <v>528.79</v>
      </c>
      <c r="AI181" t="s">
        <v>562</v>
      </c>
      <c r="AJ181" t="s">
        <v>563</v>
      </c>
    </row>
    <row r="182" spans="1:36" ht="72.5" outlineLevel="2" x14ac:dyDescent="0.35">
      <c r="A182" s="19" t="s">
        <v>551</v>
      </c>
      <c r="B182" s="19" t="s">
        <v>740</v>
      </c>
      <c r="C182" s="19" t="s">
        <v>741</v>
      </c>
      <c r="D182" s="19">
        <v>2019</v>
      </c>
      <c r="E182" s="19" t="s">
        <v>554</v>
      </c>
      <c r="F182" s="19">
        <v>80091319</v>
      </c>
      <c r="G182" s="19" t="s">
        <v>1209</v>
      </c>
      <c r="H182" s="19" t="s">
        <v>1210</v>
      </c>
      <c r="I182" s="19" t="s">
        <v>31</v>
      </c>
      <c r="J182" s="20">
        <v>1</v>
      </c>
      <c r="K182" s="21">
        <v>43751</v>
      </c>
      <c r="L182" s="21">
        <v>43766</v>
      </c>
      <c r="M182" s="21">
        <v>43810</v>
      </c>
      <c r="N182" s="24" t="s">
        <v>2448</v>
      </c>
      <c r="O182" s="19" t="s">
        <v>557</v>
      </c>
      <c r="P182" s="19" t="s">
        <v>576</v>
      </c>
      <c r="Q182" s="19" t="s">
        <v>1211</v>
      </c>
      <c r="R182" s="19" t="s">
        <v>616</v>
      </c>
      <c r="S182" s="19" t="s">
        <v>1212</v>
      </c>
      <c r="T182" t="s">
        <v>45</v>
      </c>
      <c r="U182" s="22">
        <v>0</v>
      </c>
      <c r="V182" s="22">
        <v>0</v>
      </c>
      <c r="W182" s="22">
        <v>223.35</v>
      </c>
      <c r="X182" s="22">
        <v>0</v>
      </c>
      <c r="Y182" s="22">
        <v>12.79</v>
      </c>
      <c r="Z182" s="22">
        <v>0</v>
      </c>
      <c r="AA182" s="22">
        <v>0</v>
      </c>
      <c r="AB182" s="22">
        <v>0</v>
      </c>
      <c r="AC182" s="22">
        <v>0</v>
      </c>
      <c r="AD182" s="22">
        <v>0</v>
      </c>
      <c r="AE182" s="22">
        <v>236.14</v>
      </c>
      <c r="AF182" s="22">
        <f t="shared" si="2"/>
        <v>236.14</v>
      </c>
      <c r="AG182" s="22">
        <v>0</v>
      </c>
      <c r="AH182" s="22">
        <v>236.14</v>
      </c>
      <c r="AI182" t="s">
        <v>562</v>
      </c>
      <c r="AJ182" t="s">
        <v>563</v>
      </c>
    </row>
    <row r="183" spans="1:36" ht="72.5" outlineLevel="2" x14ac:dyDescent="0.35">
      <c r="A183" s="19" t="s">
        <v>551</v>
      </c>
      <c r="B183" s="19" t="s">
        <v>986</v>
      </c>
      <c r="C183" s="19" t="s">
        <v>553</v>
      </c>
      <c r="D183" s="19">
        <v>2019</v>
      </c>
      <c r="E183" s="19" t="s">
        <v>554</v>
      </c>
      <c r="F183" s="19">
        <v>80090344</v>
      </c>
      <c r="G183" s="19" t="s">
        <v>1213</v>
      </c>
      <c r="H183" s="19" t="s">
        <v>1214</v>
      </c>
      <c r="I183" s="19" t="s">
        <v>31</v>
      </c>
      <c r="J183" s="20">
        <v>1</v>
      </c>
      <c r="K183" s="21">
        <v>43749</v>
      </c>
      <c r="L183" s="21">
        <v>43753</v>
      </c>
      <c r="M183" s="21">
        <v>44291</v>
      </c>
      <c r="N183" s="24" t="s">
        <v>2448</v>
      </c>
      <c r="O183" s="19" t="s">
        <v>557</v>
      </c>
      <c r="P183" s="19" t="s">
        <v>568</v>
      </c>
      <c r="Q183" s="19" t="s">
        <v>655</v>
      </c>
      <c r="R183" s="19" t="s">
        <v>578</v>
      </c>
      <c r="S183" s="19" t="s">
        <v>1215</v>
      </c>
      <c r="T183" t="s">
        <v>169</v>
      </c>
      <c r="U183" s="22">
        <v>0</v>
      </c>
      <c r="V183" s="22">
        <v>0</v>
      </c>
      <c r="W183" s="22">
        <v>242.33</v>
      </c>
      <c r="X183" s="22">
        <v>0</v>
      </c>
      <c r="Y183" s="22">
        <v>20.38</v>
      </c>
      <c r="Z183" s="22">
        <v>0</v>
      </c>
      <c r="AA183" s="22">
        <v>0</v>
      </c>
      <c r="AB183" s="22">
        <v>0</v>
      </c>
      <c r="AC183" s="22">
        <v>0</v>
      </c>
      <c r="AD183" s="22">
        <v>0</v>
      </c>
      <c r="AE183" s="22">
        <v>262.70999999999998</v>
      </c>
      <c r="AF183" s="22">
        <f t="shared" si="2"/>
        <v>262.70999999999998</v>
      </c>
      <c r="AG183" s="22">
        <v>0</v>
      </c>
      <c r="AH183" s="22">
        <v>262.70999999999998</v>
      </c>
      <c r="AI183" t="s">
        <v>562</v>
      </c>
      <c r="AJ183" t="s">
        <v>563</v>
      </c>
    </row>
    <row r="184" spans="1:36" ht="58" outlineLevel="2" x14ac:dyDescent="0.35">
      <c r="A184" s="19" t="s">
        <v>551</v>
      </c>
      <c r="B184" s="19" t="s">
        <v>986</v>
      </c>
      <c r="C184" s="19" t="s">
        <v>553</v>
      </c>
      <c r="D184" s="19">
        <v>2019</v>
      </c>
      <c r="E184" s="19" t="s">
        <v>554</v>
      </c>
      <c r="F184" s="19">
        <v>80090331</v>
      </c>
      <c r="G184" s="19" t="s">
        <v>1216</v>
      </c>
      <c r="H184" s="19" t="s">
        <v>1217</v>
      </c>
      <c r="I184" s="19" t="s">
        <v>31</v>
      </c>
      <c r="J184" s="20">
        <v>1</v>
      </c>
      <c r="K184" s="21">
        <v>43741</v>
      </c>
      <c r="L184" s="21">
        <v>43760</v>
      </c>
      <c r="M184" s="21">
        <v>44288</v>
      </c>
      <c r="N184" s="24" t="s">
        <v>2448</v>
      </c>
      <c r="O184" s="19" t="s">
        <v>557</v>
      </c>
      <c r="P184" s="19" t="s">
        <v>665</v>
      </c>
      <c r="Q184" s="19" t="s">
        <v>569</v>
      </c>
      <c r="R184" s="19" t="s">
        <v>570</v>
      </c>
      <c r="S184" s="19" t="s">
        <v>1218</v>
      </c>
      <c r="T184" t="s">
        <v>169</v>
      </c>
      <c r="U184" s="22">
        <v>0</v>
      </c>
      <c r="V184" s="22">
        <v>0</v>
      </c>
      <c r="W184" s="22">
        <v>10.64</v>
      </c>
      <c r="X184" s="22">
        <v>0</v>
      </c>
      <c r="Y184" s="22">
        <v>12.64</v>
      </c>
      <c r="Z184" s="22">
        <v>0</v>
      </c>
      <c r="AA184" s="22">
        <v>0</v>
      </c>
      <c r="AB184" s="22">
        <v>0</v>
      </c>
      <c r="AC184" s="22">
        <v>0</v>
      </c>
      <c r="AD184" s="22">
        <v>0</v>
      </c>
      <c r="AE184" s="22">
        <v>23.28</v>
      </c>
      <c r="AF184" s="22">
        <f t="shared" si="2"/>
        <v>23.28</v>
      </c>
      <c r="AG184" s="22">
        <v>0</v>
      </c>
      <c r="AH184" s="22">
        <v>23.28</v>
      </c>
      <c r="AI184" t="s">
        <v>562</v>
      </c>
      <c r="AJ184" t="s">
        <v>563</v>
      </c>
    </row>
    <row r="185" spans="1:36" ht="43.5" outlineLevel="2" x14ac:dyDescent="0.35">
      <c r="A185" s="19" t="s">
        <v>551</v>
      </c>
      <c r="B185" s="19" t="s">
        <v>658</v>
      </c>
      <c r="C185" s="19" t="s">
        <v>643</v>
      </c>
      <c r="D185" s="19">
        <v>2019</v>
      </c>
      <c r="E185" s="19" t="s">
        <v>554</v>
      </c>
      <c r="F185" s="19">
        <v>80091383</v>
      </c>
      <c r="G185" s="19" t="s">
        <v>1219</v>
      </c>
      <c r="H185" s="19" t="s">
        <v>1220</v>
      </c>
      <c r="I185" s="19" t="s">
        <v>31</v>
      </c>
      <c r="J185" s="20">
        <v>1</v>
      </c>
      <c r="K185" s="21">
        <v>43740</v>
      </c>
      <c r="L185" s="21">
        <v>43781</v>
      </c>
      <c r="M185" s="21">
        <v>44288</v>
      </c>
      <c r="N185" s="24" t="s">
        <v>2448</v>
      </c>
      <c r="O185" s="19" t="s">
        <v>557</v>
      </c>
      <c r="P185" s="19" t="s">
        <v>568</v>
      </c>
      <c r="Q185" s="19" t="s">
        <v>569</v>
      </c>
      <c r="R185" s="19" t="s">
        <v>570</v>
      </c>
      <c r="S185" s="19" t="s">
        <v>1221</v>
      </c>
      <c r="T185" t="s">
        <v>62</v>
      </c>
      <c r="U185" s="22">
        <v>0</v>
      </c>
      <c r="V185" s="22">
        <v>0</v>
      </c>
      <c r="W185" s="22">
        <v>958.74</v>
      </c>
      <c r="X185" s="22">
        <v>0</v>
      </c>
      <c r="Y185" s="22">
        <v>125.72</v>
      </c>
      <c r="Z185" s="22">
        <v>0</v>
      </c>
      <c r="AA185" s="22">
        <v>0</v>
      </c>
      <c r="AB185" s="22">
        <v>-34.229999999999997</v>
      </c>
      <c r="AC185" s="22">
        <v>0</v>
      </c>
      <c r="AD185" s="22">
        <v>0</v>
      </c>
      <c r="AE185" s="22">
        <v>1084.46</v>
      </c>
      <c r="AF185" s="22">
        <f t="shared" si="2"/>
        <v>1050.23</v>
      </c>
      <c r="AG185" s="22">
        <v>0</v>
      </c>
      <c r="AH185" s="22">
        <v>1050.23</v>
      </c>
      <c r="AI185" t="s">
        <v>562</v>
      </c>
      <c r="AJ185" t="s">
        <v>563</v>
      </c>
    </row>
    <row r="186" spans="1:36" ht="43.5" outlineLevel="2" x14ac:dyDescent="0.35">
      <c r="A186" s="19" t="s">
        <v>551</v>
      </c>
      <c r="B186" s="19" t="s">
        <v>821</v>
      </c>
      <c r="C186" s="19" t="s">
        <v>749</v>
      </c>
      <c r="D186" s="19">
        <v>2019</v>
      </c>
      <c r="E186" s="19" t="s">
        <v>554</v>
      </c>
      <c r="F186" s="19">
        <v>80091403</v>
      </c>
      <c r="G186" s="19" t="s">
        <v>1222</v>
      </c>
      <c r="H186" s="19" t="s">
        <v>1223</v>
      </c>
      <c r="I186" s="19" t="s">
        <v>31</v>
      </c>
      <c r="J186" s="20">
        <v>1</v>
      </c>
      <c r="K186" s="21">
        <v>43739</v>
      </c>
      <c r="L186" s="21">
        <v>43791</v>
      </c>
      <c r="M186" s="21">
        <v>44172</v>
      </c>
      <c r="N186" s="24" t="s">
        <v>2448</v>
      </c>
      <c r="O186" s="19" t="s">
        <v>557</v>
      </c>
      <c r="P186" s="19" t="s">
        <v>568</v>
      </c>
      <c r="Q186" s="19" t="s">
        <v>569</v>
      </c>
      <c r="R186" s="19" t="s">
        <v>591</v>
      </c>
      <c r="S186" s="19" t="s">
        <v>1224</v>
      </c>
      <c r="T186" t="s">
        <v>121</v>
      </c>
      <c r="U186" s="22">
        <v>21058.62</v>
      </c>
      <c r="V186" s="22">
        <v>0</v>
      </c>
      <c r="W186" s="22">
        <v>21031.8</v>
      </c>
      <c r="X186" s="22">
        <v>0</v>
      </c>
      <c r="Y186" s="22">
        <v>1147.93</v>
      </c>
      <c r="Z186" s="22">
        <v>0</v>
      </c>
      <c r="AA186" s="22">
        <v>0</v>
      </c>
      <c r="AB186" s="22">
        <v>-22.02</v>
      </c>
      <c r="AC186" s="22">
        <v>0</v>
      </c>
      <c r="AD186" s="22">
        <v>0</v>
      </c>
      <c r="AE186" s="22">
        <v>43238.35</v>
      </c>
      <c r="AF186" s="22">
        <f t="shared" si="2"/>
        <v>43216.33</v>
      </c>
      <c r="AG186" s="22">
        <v>0</v>
      </c>
      <c r="AH186" s="22">
        <v>43216.33</v>
      </c>
      <c r="AI186" t="s">
        <v>562</v>
      </c>
      <c r="AJ186" t="s">
        <v>563</v>
      </c>
    </row>
    <row r="187" spans="1:36" ht="43.5" outlineLevel="2" x14ac:dyDescent="0.35">
      <c r="A187" s="19" t="s">
        <v>551</v>
      </c>
      <c r="B187" s="19" t="s">
        <v>986</v>
      </c>
      <c r="C187" s="19" t="s">
        <v>553</v>
      </c>
      <c r="D187" s="19">
        <v>2019</v>
      </c>
      <c r="E187" s="19" t="s">
        <v>554</v>
      </c>
      <c r="F187" s="19">
        <v>80090340</v>
      </c>
      <c r="G187" s="19" t="s">
        <v>1225</v>
      </c>
      <c r="H187" s="19" t="s">
        <v>1226</v>
      </c>
      <c r="I187" s="19" t="s">
        <v>31</v>
      </c>
      <c r="J187" s="20">
        <v>1</v>
      </c>
      <c r="K187" s="21">
        <v>43738</v>
      </c>
      <c r="L187" s="21">
        <v>43745</v>
      </c>
      <c r="M187" s="21">
        <v>43791</v>
      </c>
      <c r="N187" s="24" t="s">
        <v>2448</v>
      </c>
      <c r="O187" s="19" t="s">
        <v>557</v>
      </c>
      <c r="P187" s="19" t="s">
        <v>665</v>
      </c>
      <c r="Q187" s="19" t="s">
        <v>1143</v>
      </c>
      <c r="R187" s="19" t="s">
        <v>570</v>
      </c>
      <c r="S187" s="19" t="s">
        <v>1227</v>
      </c>
      <c r="T187" t="s">
        <v>169</v>
      </c>
      <c r="U187" s="22">
        <v>0</v>
      </c>
      <c r="V187" s="22">
        <v>0</v>
      </c>
      <c r="W187" s="22">
        <v>242.33</v>
      </c>
      <c r="X187" s="22">
        <v>0</v>
      </c>
      <c r="Y187" s="22">
        <v>20.38</v>
      </c>
      <c r="Z187" s="22">
        <v>0</v>
      </c>
      <c r="AA187" s="22">
        <v>0</v>
      </c>
      <c r="AB187" s="22">
        <v>0</v>
      </c>
      <c r="AC187" s="22">
        <v>0</v>
      </c>
      <c r="AD187" s="22">
        <v>0</v>
      </c>
      <c r="AE187" s="22">
        <v>262.70999999999998</v>
      </c>
      <c r="AF187" s="22">
        <f t="shared" si="2"/>
        <v>262.70999999999998</v>
      </c>
      <c r="AG187" s="22">
        <v>0</v>
      </c>
      <c r="AH187" s="22">
        <v>262.70999999999998</v>
      </c>
      <c r="AI187" t="s">
        <v>562</v>
      </c>
      <c r="AJ187" t="s">
        <v>563</v>
      </c>
    </row>
    <row r="188" spans="1:36" ht="43.5" outlineLevel="2" x14ac:dyDescent="0.35">
      <c r="A188" s="19" t="s">
        <v>551</v>
      </c>
      <c r="B188" s="19" t="s">
        <v>1094</v>
      </c>
      <c r="C188" s="19" t="s">
        <v>1095</v>
      </c>
      <c r="D188" s="19">
        <v>2019</v>
      </c>
      <c r="E188" s="19" t="s">
        <v>554</v>
      </c>
      <c r="F188" s="19">
        <v>80090346</v>
      </c>
      <c r="G188" s="19" t="s">
        <v>1228</v>
      </c>
      <c r="H188" s="19" t="s">
        <v>1229</v>
      </c>
      <c r="I188" s="19" t="s">
        <v>31</v>
      </c>
      <c r="J188" s="20">
        <v>1</v>
      </c>
      <c r="K188" s="21">
        <v>43726</v>
      </c>
      <c r="L188" s="21">
        <v>43727</v>
      </c>
      <c r="M188" s="21">
        <v>43773</v>
      </c>
      <c r="N188" s="24" t="s">
        <v>2448</v>
      </c>
      <c r="O188" s="19" t="s">
        <v>557</v>
      </c>
      <c r="P188" s="19" t="s">
        <v>665</v>
      </c>
      <c r="Q188" s="19" t="s">
        <v>597</v>
      </c>
      <c r="R188" s="19" t="s">
        <v>570</v>
      </c>
      <c r="S188" s="19" t="s">
        <v>1230</v>
      </c>
      <c r="T188" t="s">
        <v>51</v>
      </c>
      <c r="U188" s="22">
        <v>0</v>
      </c>
      <c r="V188" s="22">
        <v>0</v>
      </c>
      <c r="W188" s="22">
        <v>1565.78</v>
      </c>
      <c r="X188" s="22">
        <v>0</v>
      </c>
      <c r="Y188" s="22">
        <v>156.1</v>
      </c>
      <c r="Z188" s="22">
        <v>0</v>
      </c>
      <c r="AA188" s="22">
        <v>0</v>
      </c>
      <c r="AB188" s="22">
        <v>0</v>
      </c>
      <c r="AC188" s="22">
        <v>0</v>
      </c>
      <c r="AD188" s="22">
        <v>0</v>
      </c>
      <c r="AE188" s="22">
        <v>1721.88</v>
      </c>
      <c r="AF188" s="22">
        <f t="shared" si="2"/>
        <v>1721.88</v>
      </c>
      <c r="AG188" s="22">
        <v>0</v>
      </c>
      <c r="AH188" s="22">
        <v>1721.88</v>
      </c>
      <c r="AI188" t="s">
        <v>562</v>
      </c>
      <c r="AJ188" t="s">
        <v>563</v>
      </c>
    </row>
    <row r="189" spans="1:36" ht="87" outlineLevel="2" x14ac:dyDescent="0.35">
      <c r="A189" s="19" t="s">
        <v>551</v>
      </c>
      <c r="B189" s="19" t="s">
        <v>1015</v>
      </c>
      <c r="C189" s="19" t="s">
        <v>1016</v>
      </c>
      <c r="D189" s="19">
        <v>2019</v>
      </c>
      <c r="E189" s="19" t="s">
        <v>554</v>
      </c>
      <c r="F189" s="19">
        <v>80090364</v>
      </c>
      <c r="G189" s="19" t="s">
        <v>1231</v>
      </c>
      <c r="H189" s="19" t="s">
        <v>1232</v>
      </c>
      <c r="I189" s="19" t="s">
        <v>31</v>
      </c>
      <c r="J189" s="20">
        <v>1</v>
      </c>
      <c r="K189" s="21">
        <v>43725</v>
      </c>
      <c r="L189" s="21">
        <v>43731</v>
      </c>
      <c r="M189" s="21">
        <v>44291</v>
      </c>
      <c r="N189" s="24" t="s">
        <v>2448</v>
      </c>
      <c r="O189" s="19" t="s">
        <v>557</v>
      </c>
      <c r="P189" s="19" t="s">
        <v>609</v>
      </c>
      <c r="Q189" s="19" t="s">
        <v>720</v>
      </c>
      <c r="R189" s="19" t="s">
        <v>570</v>
      </c>
      <c r="S189" s="19" t="s">
        <v>1233</v>
      </c>
      <c r="T189" t="s">
        <v>1021</v>
      </c>
      <c r="U189" s="22">
        <v>0</v>
      </c>
      <c r="V189" s="22">
        <v>0</v>
      </c>
      <c r="W189" s="22">
        <v>697.97</v>
      </c>
      <c r="X189" s="22">
        <v>0</v>
      </c>
      <c r="Y189" s="22">
        <v>88.94</v>
      </c>
      <c r="Z189" s="22">
        <v>0</v>
      </c>
      <c r="AA189" s="22">
        <v>0</v>
      </c>
      <c r="AB189" s="22">
        <v>-29.39</v>
      </c>
      <c r="AC189" s="22">
        <v>0</v>
      </c>
      <c r="AD189" s="22">
        <v>0</v>
      </c>
      <c r="AE189" s="22">
        <v>786.91</v>
      </c>
      <c r="AF189" s="22">
        <f t="shared" si="2"/>
        <v>757.52</v>
      </c>
      <c r="AG189" s="22">
        <v>0</v>
      </c>
      <c r="AH189" s="22">
        <v>757.52</v>
      </c>
      <c r="AI189" t="s">
        <v>562</v>
      </c>
      <c r="AJ189" t="s">
        <v>563</v>
      </c>
    </row>
    <row r="190" spans="1:36" ht="87" outlineLevel="2" x14ac:dyDescent="0.35">
      <c r="A190" s="19" t="s">
        <v>551</v>
      </c>
      <c r="B190" s="19" t="s">
        <v>572</v>
      </c>
      <c r="C190" s="19" t="s">
        <v>573</v>
      </c>
      <c r="D190" s="19">
        <v>2019</v>
      </c>
      <c r="E190" s="19" t="s">
        <v>554</v>
      </c>
      <c r="F190" s="19">
        <v>80091350</v>
      </c>
      <c r="G190" s="19" t="s">
        <v>1234</v>
      </c>
      <c r="H190" s="19" t="s">
        <v>1235</v>
      </c>
      <c r="I190" s="19" t="s">
        <v>31</v>
      </c>
      <c r="J190" s="20">
        <v>1</v>
      </c>
      <c r="K190" s="21">
        <v>43725</v>
      </c>
      <c r="L190" s="21">
        <v>43788</v>
      </c>
      <c r="M190" s="21">
        <v>44141</v>
      </c>
      <c r="N190" s="24" t="s">
        <v>2448</v>
      </c>
      <c r="O190" s="19" t="s">
        <v>557</v>
      </c>
      <c r="P190" s="19" t="s">
        <v>665</v>
      </c>
      <c r="Q190" s="19" t="s">
        <v>871</v>
      </c>
      <c r="R190" s="19" t="s">
        <v>570</v>
      </c>
      <c r="S190" s="19" t="s">
        <v>1236</v>
      </c>
      <c r="T190" t="s">
        <v>282</v>
      </c>
      <c r="U190" s="22">
        <v>9507</v>
      </c>
      <c r="V190" s="22">
        <v>0</v>
      </c>
      <c r="W190" s="22">
        <v>2141.59</v>
      </c>
      <c r="X190" s="22">
        <v>0</v>
      </c>
      <c r="Y190" s="22">
        <v>1673.69</v>
      </c>
      <c r="Z190" s="22">
        <v>0</v>
      </c>
      <c r="AA190" s="22">
        <v>0</v>
      </c>
      <c r="AB190" s="22">
        <v>-659.91</v>
      </c>
      <c r="AC190" s="22">
        <v>0</v>
      </c>
      <c r="AD190" s="22">
        <v>0</v>
      </c>
      <c r="AE190" s="22">
        <v>13322.28</v>
      </c>
      <c r="AF190" s="22">
        <f t="shared" si="2"/>
        <v>12662.37</v>
      </c>
      <c r="AG190" s="22">
        <v>0</v>
      </c>
      <c r="AH190" s="22">
        <v>12662.37</v>
      </c>
      <c r="AI190" t="s">
        <v>562</v>
      </c>
      <c r="AJ190" t="s">
        <v>563</v>
      </c>
    </row>
    <row r="191" spans="1:36" ht="72.5" outlineLevel="2" x14ac:dyDescent="0.35">
      <c r="A191" s="19" t="s">
        <v>551</v>
      </c>
      <c r="B191" s="19" t="s">
        <v>572</v>
      </c>
      <c r="C191" s="19" t="s">
        <v>573</v>
      </c>
      <c r="D191" s="19">
        <v>2019</v>
      </c>
      <c r="E191" s="19" t="s">
        <v>554</v>
      </c>
      <c r="F191" s="19">
        <v>80090329</v>
      </c>
      <c r="G191" s="19" t="s">
        <v>1237</v>
      </c>
      <c r="H191" s="19" t="s">
        <v>1238</v>
      </c>
      <c r="I191" s="19" t="s">
        <v>31</v>
      </c>
      <c r="J191" s="20">
        <v>1</v>
      </c>
      <c r="K191" s="21">
        <v>43721</v>
      </c>
      <c r="L191" s="21">
        <v>43734</v>
      </c>
      <c r="M191" s="21">
        <v>44291</v>
      </c>
      <c r="N191" s="24" t="s">
        <v>2448</v>
      </c>
      <c r="O191" s="19" t="s">
        <v>557</v>
      </c>
      <c r="P191" s="19" t="s">
        <v>568</v>
      </c>
      <c r="Q191" s="19" t="s">
        <v>655</v>
      </c>
      <c r="R191" s="19" t="s">
        <v>578</v>
      </c>
      <c r="S191" s="19" t="s">
        <v>1239</v>
      </c>
      <c r="T191" t="s">
        <v>139</v>
      </c>
      <c r="U191" s="22">
        <v>0</v>
      </c>
      <c r="V191" s="22">
        <v>0</v>
      </c>
      <c r="W191" s="22">
        <v>936.43</v>
      </c>
      <c r="X191" s="22">
        <v>0</v>
      </c>
      <c r="Y191" s="22">
        <v>60.38</v>
      </c>
      <c r="Z191" s="22">
        <v>0</v>
      </c>
      <c r="AA191" s="22">
        <v>0</v>
      </c>
      <c r="AB191" s="22">
        <v>0</v>
      </c>
      <c r="AC191" s="22">
        <v>0</v>
      </c>
      <c r="AD191" s="22">
        <v>0</v>
      </c>
      <c r="AE191" s="22">
        <v>996.81</v>
      </c>
      <c r="AF191" s="22">
        <f t="shared" si="2"/>
        <v>996.81</v>
      </c>
      <c r="AG191" s="22">
        <v>0</v>
      </c>
      <c r="AH191" s="22">
        <v>996.81</v>
      </c>
      <c r="AI191" t="s">
        <v>562</v>
      </c>
      <c r="AJ191" t="s">
        <v>563</v>
      </c>
    </row>
    <row r="192" spans="1:36" ht="72.5" outlineLevel="2" x14ac:dyDescent="0.35">
      <c r="A192" s="19" t="s">
        <v>551</v>
      </c>
      <c r="B192" s="19" t="s">
        <v>1001</v>
      </c>
      <c r="C192" s="19" t="s">
        <v>1002</v>
      </c>
      <c r="D192" s="19">
        <v>2019</v>
      </c>
      <c r="E192" s="19" t="s">
        <v>554</v>
      </c>
      <c r="F192" s="19">
        <v>80082363</v>
      </c>
      <c r="G192" s="19" t="s">
        <v>1240</v>
      </c>
      <c r="H192" s="19" t="s">
        <v>1241</v>
      </c>
      <c r="I192" s="19" t="s">
        <v>31</v>
      </c>
      <c r="J192" s="20">
        <v>1</v>
      </c>
      <c r="K192" s="21">
        <v>43720</v>
      </c>
      <c r="L192" s="21">
        <v>43720</v>
      </c>
      <c r="M192" s="21">
        <v>45847</v>
      </c>
      <c r="N192" s="24" t="s">
        <v>2448</v>
      </c>
      <c r="O192" s="19" t="s">
        <v>557</v>
      </c>
      <c r="P192" s="19" t="s">
        <v>558</v>
      </c>
      <c r="Q192" s="19" t="s">
        <v>1242</v>
      </c>
      <c r="R192" s="19" t="s">
        <v>1243</v>
      </c>
      <c r="S192" s="19" t="s">
        <v>1244</v>
      </c>
      <c r="T192" t="s">
        <v>51</v>
      </c>
      <c r="U192" s="22">
        <v>111462.5</v>
      </c>
      <c r="V192" s="22">
        <v>0</v>
      </c>
      <c r="W192" s="22">
        <v>15063.86</v>
      </c>
      <c r="X192" s="22">
        <v>0</v>
      </c>
      <c r="Y192" s="22">
        <v>30828.18</v>
      </c>
      <c r="Z192" s="22">
        <v>0</v>
      </c>
      <c r="AA192" s="22">
        <v>0</v>
      </c>
      <c r="AB192" s="22">
        <v>0</v>
      </c>
      <c r="AC192" s="22">
        <v>0</v>
      </c>
      <c r="AD192" s="22">
        <v>-34</v>
      </c>
      <c r="AE192" s="22">
        <v>157354.54</v>
      </c>
      <c r="AF192" s="22">
        <f t="shared" si="2"/>
        <v>157354.54</v>
      </c>
      <c r="AG192" s="22">
        <v>0</v>
      </c>
      <c r="AH192" s="22">
        <v>157354.54</v>
      </c>
      <c r="AI192" t="s">
        <v>562</v>
      </c>
      <c r="AJ192" t="s">
        <v>563</v>
      </c>
    </row>
    <row r="193" spans="1:36" ht="43.5" outlineLevel="2" x14ac:dyDescent="0.35">
      <c r="A193" s="19" t="s">
        <v>551</v>
      </c>
      <c r="B193" s="19" t="s">
        <v>572</v>
      </c>
      <c r="C193" s="19" t="s">
        <v>573</v>
      </c>
      <c r="D193" s="19">
        <v>2019</v>
      </c>
      <c r="E193" s="19" t="s">
        <v>554</v>
      </c>
      <c r="F193" s="19">
        <v>80090328</v>
      </c>
      <c r="G193" s="19" t="s">
        <v>1245</v>
      </c>
      <c r="H193" s="19" t="s">
        <v>1246</v>
      </c>
      <c r="I193" s="19" t="s">
        <v>31</v>
      </c>
      <c r="J193" s="20">
        <v>1</v>
      </c>
      <c r="K193" s="21">
        <v>43713</v>
      </c>
      <c r="L193" s="21">
        <v>43719</v>
      </c>
      <c r="M193" s="21">
        <v>43912</v>
      </c>
      <c r="N193" s="24" t="s">
        <v>2448</v>
      </c>
      <c r="O193" s="19" t="s">
        <v>557</v>
      </c>
      <c r="P193" s="19" t="s">
        <v>609</v>
      </c>
      <c r="Q193" s="19" t="s">
        <v>1247</v>
      </c>
      <c r="R193" s="19" t="s">
        <v>578</v>
      </c>
      <c r="S193" s="19" t="s">
        <v>1248</v>
      </c>
      <c r="T193" t="s">
        <v>139</v>
      </c>
      <c r="U193" s="22">
        <v>0</v>
      </c>
      <c r="V193" s="22">
        <v>0</v>
      </c>
      <c r="W193" s="22">
        <v>232.13</v>
      </c>
      <c r="X193" s="22">
        <v>0</v>
      </c>
      <c r="Y193" s="22">
        <v>28.5</v>
      </c>
      <c r="Z193" s="22">
        <v>0</v>
      </c>
      <c r="AA193" s="22">
        <v>0</v>
      </c>
      <c r="AB193" s="22">
        <v>0</v>
      </c>
      <c r="AC193" s="22">
        <v>0</v>
      </c>
      <c r="AD193" s="22">
        <v>0</v>
      </c>
      <c r="AE193" s="22">
        <v>260.63</v>
      </c>
      <c r="AF193" s="22">
        <f t="shared" si="2"/>
        <v>260.63</v>
      </c>
      <c r="AG193" s="22">
        <v>0</v>
      </c>
      <c r="AH193" s="22">
        <v>260.63</v>
      </c>
      <c r="AI193" t="s">
        <v>562</v>
      </c>
      <c r="AJ193" t="s">
        <v>563</v>
      </c>
    </row>
    <row r="194" spans="1:36" ht="43.5" outlineLevel="2" x14ac:dyDescent="0.35">
      <c r="A194" s="19" t="s">
        <v>551</v>
      </c>
      <c r="B194" s="19" t="s">
        <v>586</v>
      </c>
      <c r="C194" s="19" t="s">
        <v>587</v>
      </c>
      <c r="D194" s="19">
        <v>2019</v>
      </c>
      <c r="E194" s="19" t="s">
        <v>554</v>
      </c>
      <c r="F194" s="19">
        <v>80090373</v>
      </c>
      <c r="G194" s="19" t="s">
        <v>1249</v>
      </c>
      <c r="H194" s="19" t="s">
        <v>1250</v>
      </c>
      <c r="I194" s="19" t="s">
        <v>31</v>
      </c>
      <c r="J194" s="20">
        <v>1</v>
      </c>
      <c r="K194" s="21">
        <v>43705</v>
      </c>
      <c r="L194" s="21">
        <v>43711</v>
      </c>
      <c r="M194" s="21">
        <v>44291</v>
      </c>
      <c r="N194" s="24" t="s">
        <v>2448</v>
      </c>
      <c r="O194" s="19" t="s">
        <v>557</v>
      </c>
      <c r="P194" s="19" t="s">
        <v>609</v>
      </c>
      <c r="Q194" s="19" t="s">
        <v>577</v>
      </c>
      <c r="R194" s="19" t="s">
        <v>616</v>
      </c>
      <c r="S194" s="19" t="s">
        <v>1251</v>
      </c>
      <c r="T194" t="s">
        <v>45</v>
      </c>
      <c r="U194" s="22">
        <v>0</v>
      </c>
      <c r="V194" s="22">
        <v>0</v>
      </c>
      <c r="W194" s="22">
        <v>870.9</v>
      </c>
      <c r="X194" s="22">
        <v>0</v>
      </c>
      <c r="Y194" s="22">
        <v>89</v>
      </c>
      <c r="Z194" s="22">
        <v>0</v>
      </c>
      <c r="AA194" s="22">
        <v>0</v>
      </c>
      <c r="AB194" s="22">
        <v>0</v>
      </c>
      <c r="AC194" s="22">
        <v>0</v>
      </c>
      <c r="AD194" s="22">
        <v>0</v>
      </c>
      <c r="AE194" s="22">
        <v>959.9</v>
      </c>
      <c r="AF194" s="22">
        <f t="shared" si="2"/>
        <v>959.9</v>
      </c>
      <c r="AG194" s="22">
        <v>0</v>
      </c>
      <c r="AH194" s="22">
        <v>959.9</v>
      </c>
      <c r="AI194" t="s">
        <v>562</v>
      </c>
      <c r="AJ194" t="s">
        <v>563</v>
      </c>
    </row>
    <row r="195" spans="1:36" ht="43.5" outlineLevel="2" x14ac:dyDescent="0.35">
      <c r="A195" s="19" t="s">
        <v>551</v>
      </c>
      <c r="B195" s="19" t="s">
        <v>986</v>
      </c>
      <c r="C195" s="19" t="s">
        <v>553</v>
      </c>
      <c r="D195" s="19">
        <v>2019</v>
      </c>
      <c r="E195" s="19" t="s">
        <v>554</v>
      </c>
      <c r="F195" s="19">
        <v>80091366</v>
      </c>
      <c r="G195" s="19" t="s">
        <v>1252</v>
      </c>
      <c r="H195" s="19" t="s">
        <v>1253</v>
      </c>
      <c r="I195" s="19" t="s">
        <v>31</v>
      </c>
      <c r="J195" s="20">
        <v>1</v>
      </c>
      <c r="K195" s="21">
        <v>43704</v>
      </c>
      <c r="L195" s="21">
        <v>43962</v>
      </c>
      <c r="M195" s="21">
        <v>44305</v>
      </c>
      <c r="N195" s="24" t="s">
        <v>2448</v>
      </c>
      <c r="O195" s="19" t="s">
        <v>557</v>
      </c>
      <c r="P195" s="19" t="s">
        <v>568</v>
      </c>
      <c r="Q195" s="19" t="s">
        <v>860</v>
      </c>
      <c r="R195" s="19" t="s">
        <v>560</v>
      </c>
      <c r="S195" s="19" t="s">
        <v>1254</v>
      </c>
      <c r="T195" t="s">
        <v>169</v>
      </c>
      <c r="U195" s="22">
        <v>8923</v>
      </c>
      <c r="V195" s="22">
        <v>0</v>
      </c>
      <c r="W195" s="22">
        <v>0</v>
      </c>
      <c r="X195" s="22">
        <v>0</v>
      </c>
      <c r="Y195" s="22">
        <v>600</v>
      </c>
      <c r="Z195" s="22">
        <v>0</v>
      </c>
      <c r="AA195" s="22">
        <v>0</v>
      </c>
      <c r="AB195" s="22">
        <v>-400</v>
      </c>
      <c r="AC195" s="22">
        <v>0</v>
      </c>
      <c r="AD195" s="22">
        <v>0</v>
      </c>
      <c r="AE195" s="22">
        <v>9523</v>
      </c>
      <c r="AF195" s="22">
        <f t="shared" ref="AF195:AF258" si="3">AE195+AA195+AB195+AC195</f>
        <v>9123</v>
      </c>
      <c r="AG195" s="22">
        <v>0</v>
      </c>
      <c r="AH195" s="22">
        <v>9123</v>
      </c>
      <c r="AI195" t="s">
        <v>562</v>
      </c>
      <c r="AJ195" t="s">
        <v>563</v>
      </c>
    </row>
    <row r="196" spans="1:36" ht="58" outlineLevel="2" x14ac:dyDescent="0.35">
      <c r="A196" s="19" t="s">
        <v>551</v>
      </c>
      <c r="B196" s="19" t="s">
        <v>996</v>
      </c>
      <c r="C196" s="19" t="s">
        <v>997</v>
      </c>
      <c r="D196" s="19">
        <v>2019</v>
      </c>
      <c r="E196" s="19" t="s">
        <v>554</v>
      </c>
      <c r="F196" s="19">
        <v>80090363</v>
      </c>
      <c r="G196" s="19" t="s">
        <v>1255</v>
      </c>
      <c r="H196" s="19" t="s">
        <v>1256</v>
      </c>
      <c r="I196" s="19" t="s">
        <v>31</v>
      </c>
      <c r="J196" s="20">
        <v>1</v>
      </c>
      <c r="K196" s="21">
        <v>43699</v>
      </c>
      <c r="L196" s="21">
        <v>43703</v>
      </c>
      <c r="M196" s="21">
        <v>43747</v>
      </c>
      <c r="N196" s="24" t="s">
        <v>2448</v>
      </c>
      <c r="O196" s="19" t="s">
        <v>557</v>
      </c>
      <c r="P196" s="19" t="s">
        <v>568</v>
      </c>
      <c r="Q196" s="19" t="s">
        <v>634</v>
      </c>
      <c r="R196" s="19" t="s">
        <v>578</v>
      </c>
      <c r="S196" s="19" t="s">
        <v>1257</v>
      </c>
      <c r="T196" t="s">
        <v>51</v>
      </c>
      <c r="U196" s="22">
        <v>0</v>
      </c>
      <c r="V196" s="22">
        <v>0</v>
      </c>
      <c r="W196" s="22">
        <v>575.17999999999995</v>
      </c>
      <c r="X196" s="22">
        <v>0</v>
      </c>
      <c r="Y196" s="22">
        <v>60.62</v>
      </c>
      <c r="Z196" s="22">
        <v>0</v>
      </c>
      <c r="AA196" s="22">
        <v>0</v>
      </c>
      <c r="AB196" s="22">
        <v>0</v>
      </c>
      <c r="AC196" s="22">
        <v>0</v>
      </c>
      <c r="AD196" s="22">
        <v>0</v>
      </c>
      <c r="AE196" s="22">
        <v>635.79999999999995</v>
      </c>
      <c r="AF196" s="22">
        <f t="shared" si="3"/>
        <v>635.79999999999995</v>
      </c>
      <c r="AG196" s="22">
        <v>0</v>
      </c>
      <c r="AH196" s="22">
        <v>635.79999999999995</v>
      </c>
      <c r="AI196" t="s">
        <v>562</v>
      </c>
      <c r="AJ196" t="s">
        <v>563</v>
      </c>
    </row>
    <row r="197" spans="1:36" ht="43.5" outlineLevel="2" x14ac:dyDescent="0.35">
      <c r="A197" s="19" t="s">
        <v>551</v>
      </c>
      <c r="B197" s="19" t="s">
        <v>1258</v>
      </c>
      <c r="C197" s="19" t="s">
        <v>1259</v>
      </c>
      <c r="D197" s="19">
        <v>2019</v>
      </c>
      <c r="E197" s="19" t="s">
        <v>554</v>
      </c>
      <c r="F197" s="19">
        <v>80090422</v>
      </c>
      <c r="G197" s="19" t="s">
        <v>1260</v>
      </c>
      <c r="H197" s="19" t="s">
        <v>1261</v>
      </c>
      <c r="I197" s="19" t="s">
        <v>31</v>
      </c>
      <c r="J197" s="20">
        <v>1</v>
      </c>
      <c r="K197" s="21">
        <v>43698</v>
      </c>
      <c r="L197" s="21">
        <v>43759</v>
      </c>
      <c r="M197" s="21">
        <v>44291</v>
      </c>
      <c r="N197" s="24" t="s">
        <v>2448</v>
      </c>
      <c r="O197" s="19" t="s">
        <v>557</v>
      </c>
      <c r="P197" s="19" t="s">
        <v>568</v>
      </c>
      <c r="Q197" s="19" t="s">
        <v>634</v>
      </c>
      <c r="R197" s="19" t="s">
        <v>616</v>
      </c>
      <c r="S197" s="19" t="s">
        <v>1262</v>
      </c>
      <c r="T197" t="s">
        <v>69</v>
      </c>
      <c r="U197" s="22">
        <v>0</v>
      </c>
      <c r="V197" s="22">
        <v>0</v>
      </c>
      <c r="W197" s="22">
        <v>0</v>
      </c>
      <c r="X197" s="22">
        <v>0</v>
      </c>
      <c r="Y197" s="22">
        <v>0</v>
      </c>
      <c r="Z197" s="22">
        <v>0</v>
      </c>
      <c r="AA197" s="22">
        <v>0</v>
      </c>
      <c r="AB197" s="22">
        <v>0</v>
      </c>
      <c r="AC197" s="22">
        <v>0</v>
      </c>
      <c r="AD197" s="22">
        <v>0</v>
      </c>
      <c r="AE197" s="22">
        <v>0</v>
      </c>
      <c r="AF197" s="22">
        <f t="shared" si="3"/>
        <v>0</v>
      </c>
      <c r="AG197" s="22">
        <v>0</v>
      </c>
      <c r="AH197" s="22">
        <v>0</v>
      </c>
      <c r="AI197" t="s">
        <v>562</v>
      </c>
      <c r="AJ197" t="s">
        <v>563</v>
      </c>
    </row>
    <row r="198" spans="1:36" ht="58" outlineLevel="2" x14ac:dyDescent="0.35">
      <c r="A198" s="19" t="s">
        <v>551</v>
      </c>
      <c r="B198" s="19" t="s">
        <v>996</v>
      </c>
      <c r="C198" s="19" t="s">
        <v>997</v>
      </c>
      <c r="D198" s="19">
        <v>2019</v>
      </c>
      <c r="E198" s="19" t="s">
        <v>554</v>
      </c>
      <c r="F198" s="19">
        <v>80090342</v>
      </c>
      <c r="G198" s="19" t="s">
        <v>1263</v>
      </c>
      <c r="H198" s="19" t="s">
        <v>1264</v>
      </c>
      <c r="I198" s="19" t="s">
        <v>31</v>
      </c>
      <c r="J198" s="20">
        <v>1</v>
      </c>
      <c r="K198" s="21">
        <v>43693</v>
      </c>
      <c r="L198" s="21">
        <v>43697</v>
      </c>
      <c r="M198" s="21">
        <v>44291</v>
      </c>
      <c r="N198" s="24" t="s">
        <v>2448</v>
      </c>
      <c r="O198" s="19" t="s">
        <v>557</v>
      </c>
      <c r="P198" s="19" t="s">
        <v>609</v>
      </c>
      <c r="Q198" s="19" t="s">
        <v>590</v>
      </c>
      <c r="R198" s="19" t="s">
        <v>616</v>
      </c>
      <c r="S198" s="19" t="s">
        <v>1265</v>
      </c>
      <c r="T198" t="s">
        <v>51</v>
      </c>
      <c r="U198" s="22">
        <v>0</v>
      </c>
      <c r="V198" s="22">
        <v>0</v>
      </c>
      <c r="W198" s="22">
        <v>735.21</v>
      </c>
      <c r="X198" s="22">
        <v>0</v>
      </c>
      <c r="Y198" s="22">
        <v>139.41999999999999</v>
      </c>
      <c r="Z198" s="22">
        <v>0</v>
      </c>
      <c r="AA198" s="22">
        <v>0</v>
      </c>
      <c r="AB198" s="22">
        <v>0</v>
      </c>
      <c r="AC198" s="22">
        <v>0</v>
      </c>
      <c r="AD198" s="22">
        <v>0</v>
      </c>
      <c r="AE198" s="22">
        <v>874.63</v>
      </c>
      <c r="AF198" s="22">
        <f t="shared" si="3"/>
        <v>874.63</v>
      </c>
      <c r="AG198" s="22">
        <v>0</v>
      </c>
      <c r="AH198" s="22">
        <v>874.63</v>
      </c>
      <c r="AI198" t="s">
        <v>562</v>
      </c>
      <c r="AJ198" t="s">
        <v>563</v>
      </c>
    </row>
    <row r="199" spans="1:36" ht="29" outlineLevel="2" x14ac:dyDescent="0.35">
      <c r="A199" s="19" t="s">
        <v>551</v>
      </c>
      <c r="B199" s="19" t="s">
        <v>1001</v>
      </c>
      <c r="C199" s="19" t="s">
        <v>1002</v>
      </c>
      <c r="D199" s="19">
        <v>2019</v>
      </c>
      <c r="E199" s="19" t="s">
        <v>554</v>
      </c>
      <c r="F199" s="19">
        <v>80090327</v>
      </c>
      <c r="G199" s="19" t="s">
        <v>1266</v>
      </c>
      <c r="H199" s="19" t="s">
        <v>1267</v>
      </c>
      <c r="I199" s="19" t="s">
        <v>31</v>
      </c>
      <c r="J199" s="20">
        <v>1</v>
      </c>
      <c r="K199" s="21">
        <v>43692</v>
      </c>
      <c r="L199" s="21">
        <v>43697</v>
      </c>
      <c r="M199" s="21">
        <v>43896</v>
      </c>
      <c r="N199" s="24" t="s">
        <v>2448</v>
      </c>
      <c r="O199" s="19" t="s">
        <v>557</v>
      </c>
      <c r="P199" s="19" t="s">
        <v>665</v>
      </c>
      <c r="Q199" s="19" t="s">
        <v>569</v>
      </c>
      <c r="R199" s="19" t="s">
        <v>570</v>
      </c>
      <c r="S199" s="19" t="s">
        <v>1268</v>
      </c>
      <c r="T199" t="s">
        <v>51</v>
      </c>
      <c r="U199" s="22">
        <v>0</v>
      </c>
      <c r="V199" s="22">
        <v>0</v>
      </c>
      <c r="W199" s="22">
        <v>1991.35</v>
      </c>
      <c r="X199" s="22">
        <v>0</v>
      </c>
      <c r="Y199" s="22">
        <v>214.1</v>
      </c>
      <c r="Z199" s="22">
        <v>0</v>
      </c>
      <c r="AA199" s="22">
        <v>0</v>
      </c>
      <c r="AB199" s="22">
        <v>-19.02</v>
      </c>
      <c r="AC199" s="22">
        <v>0</v>
      </c>
      <c r="AD199" s="22">
        <v>0</v>
      </c>
      <c r="AE199" s="22">
        <v>2205.4499999999998</v>
      </c>
      <c r="AF199" s="22">
        <f t="shared" si="3"/>
        <v>2186.4299999999998</v>
      </c>
      <c r="AG199" s="22">
        <v>0</v>
      </c>
      <c r="AH199" s="22">
        <v>2186.4299999999998</v>
      </c>
      <c r="AI199" t="s">
        <v>562</v>
      </c>
      <c r="AJ199" t="s">
        <v>563</v>
      </c>
    </row>
    <row r="200" spans="1:36" ht="58" outlineLevel="2" x14ac:dyDescent="0.35">
      <c r="A200" s="19" t="s">
        <v>551</v>
      </c>
      <c r="B200" s="19" t="s">
        <v>1269</v>
      </c>
      <c r="C200" s="19" t="s">
        <v>673</v>
      </c>
      <c r="D200" s="19">
        <v>2019</v>
      </c>
      <c r="E200" s="19" t="s">
        <v>554</v>
      </c>
      <c r="F200" s="19">
        <v>80090345</v>
      </c>
      <c r="G200" s="19" t="s">
        <v>1270</v>
      </c>
      <c r="H200" s="19" t="s">
        <v>1271</v>
      </c>
      <c r="I200" s="19" t="s">
        <v>31</v>
      </c>
      <c r="J200" s="20">
        <v>1</v>
      </c>
      <c r="K200" s="21">
        <v>43692</v>
      </c>
      <c r="L200" s="21">
        <v>43698</v>
      </c>
      <c r="M200" s="21">
        <v>44291</v>
      </c>
      <c r="N200" s="24" t="s">
        <v>2448</v>
      </c>
      <c r="O200" s="19" t="s">
        <v>557</v>
      </c>
      <c r="P200" s="19" t="s">
        <v>568</v>
      </c>
      <c r="Q200" s="19" t="s">
        <v>655</v>
      </c>
      <c r="R200" s="19" t="s">
        <v>578</v>
      </c>
      <c r="S200" s="19" t="s">
        <v>1272</v>
      </c>
      <c r="T200" t="s">
        <v>51</v>
      </c>
      <c r="U200" s="22">
        <v>0</v>
      </c>
      <c r="V200" s="22">
        <v>0</v>
      </c>
      <c r="W200" s="22">
        <v>1257.96</v>
      </c>
      <c r="X200" s="22">
        <v>0</v>
      </c>
      <c r="Y200" s="22">
        <v>93.64</v>
      </c>
      <c r="Z200" s="22">
        <v>0</v>
      </c>
      <c r="AA200" s="22">
        <v>0</v>
      </c>
      <c r="AB200" s="22">
        <v>0</v>
      </c>
      <c r="AC200" s="22">
        <v>0</v>
      </c>
      <c r="AD200" s="22">
        <v>0</v>
      </c>
      <c r="AE200" s="22">
        <v>1351.6</v>
      </c>
      <c r="AF200" s="22">
        <f t="shared" si="3"/>
        <v>1351.6</v>
      </c>
      <c r="AG200" s="22">
        <v>0</v>
      </c>
      <c r="AH200" s="22">
        <v>1351.6</v>
      </c>
      <c r="AI200" t="s">
        <v>562</v>
      </c>
      <c r="AJ200" t="s">
        <v>563</v>
      </c>
    </row>
    <row r="201" spans="1:36" ht="101.5" outlineLevel="2" x14ac:dyDescent="0.35">
      <c r="A201" s="19" t="s">
        <v>551</v>
      </c>
      <c r="B201" s="19" t="s">
        <v>1269</v>
      </c>
      <c r="C201" s="19" t="s">
        <v>673</v>
      </c>
      <c r="D201" s="19">
        <v>2019</v>
      </c>
      <c r="E201" s="19" t="s">
        <v>554</v>
      </c>
      <c r="F201" s="19">
        <v>80090338</v>
      </c>
      <c r="G201" s="19" t="s">
        <v>1273</v>
      </c>
      <c r="H201" s="19" t="s">
        <v>1274</v>
      </c>
      <c r="I201" s="19" t="s">
        <v>31</v>
      </c>
      <c r="J201" s="20">
        <v>1</v>
      </c>
      <c r="K201" s="21">
        <v>43691</v>
      </c>
      <c r="L201" s="21">
        <v>43692</v>
      </c>
      <c r="M201" s="21">
        <v>43738</v>
      </c>
      <c r="N201" s="24" t="s">
        <v>2448</v>
      </c>
      <c r="O201" s="19" t="s">
        <v>557</v>
      </c>
      <c r="P201" s="19" t="s">
        <v>568</v>
      </c>
      <c r="Q201" s="19" t="s">
        <v>590</v>
      </c>
      <c r="R201" s="19" t="s">
        <v>616</v>
      </c>
      <c r="S201" s="19" t="s">
        <v>1275</v>
      </c>
      <c r="T201" t="s">
        <v>51</v>
      </c>
      <c r="U201" s="22">
        <v>0</v>
      </c>
      <c r="V201" s="22">
        <v>0</v>
      </c>
      <c r="W201" s="22">
        <v>149.49</v>
      </c>
      <c r="X201" s="22">
        <v>0</v>
      </c>
      <c r="Y201" s="22">
        <v>10.36</v>
      </c>
      <c r="Z201" s="22">
        <v>0</v>
      </c>
      <c r="AA201" s="22">
        <v>0</v>
      </c>
      <c r="AB201" s="22">
        <v>0</v>
      </c>
      <c r="AC201" s="22">
        <v>0</v>
      </c>
      <c r="AD201" s="22">
        <v>0</v>
      </c>
      <c r="AE201" s="22">
        <v>159.85</v>
      </c>
      <c r="AF201" s="22">
        <f t="shared" si="3"/>
        <v>159.85</v>
      </c>
      <c r="AG201" s="22">
        <v>0</v>
      </c>
      <c r="AH201" s="22">
        <v>159.85</v>
      </c>
      <c r="AI201" t="s">
        <v>562</v>
      </c>
      <c r="AJ201" t="s">
        <v>563</v>
      </c>
    </row>
    <row r="202" spans="1:36" ht="72.5" outlineLevel="2" x14ac:dyDescent="0.35">
      <c r="A202" s="19" t="s">
        <v>551</v>
      </c>
      <c r="B202" s="19" t="s">
        <v>945</v>
      </c>
      <c r="C202" s="19" t="s">
        <v>946</v>
      </c>
      <c r="D202" s="19">
        <v>2019</v>
      </c>
      <c r="E202" s="19" t="s">
        <v>554</v>
      </c>
      <c r="F202" s="19">
        <v>80090326</v>
      </c>
      <c r="G202" s="19" t="s">
        <v>1276</v>
      </c>
      <c r="H202" s="19" t="s">
        <v>1277</v>
      </c>
      <c r="I202" s="19" t="s">
        <v>31</v>
      </c>
      <c r="J202" s="20">
        <v>1</v>
      </c>
      <c r="K202" s="21">
        <v>43689</v>
      </c>
      <c r="L202" s="21">
        <v>43690</v>
      </c>
      <c r="M202" s="21">
        <v>43733</v>
      </c>
      <c r="N202" s="24" t="s">
        <v>2448</v>
      </c>
      <c r="O202" s="19" t="s">
        <v>557</v>
      </c>
      <c r="P202" s="19" t="s">
        <v>568</v>
      </c>
      <c r="Q202" s="19" t="s">
        <v>655</v>
      </c>
      <c r="R202" s="19" t="s">
        <v>578</v>
      </c>
      <c r="S202" s="19" t="s">
        <v>1278</v>
      </c>
      <c r="T202" t="s">
        <v>51</v>
      </c>
      <c r="U202" s="22">
        <v>0</v>
      </c>
      <c r="V202" s="22">
        <v>0</v>
      </c>
      <c r="W202" s="22">
        <v>516.61</v>
      </c>
      <c r="X202" s="22">
        <v>0</v>
      </c>
      <c r="Y202" s="22">
        <v>78.41</v>
      </c>
      <c r="Z202" s="22">
        <v>0</v>
      </c>
      <c r="AA202" s="22">
        <v>0</v>
      </c>
      <c r="AB202" s="22">
        <v>0</v>
      </c>
      <c r="AC202" s="22">
        <v>0</v>
      </c>
      <c r="AD202" s="22">
        <v>0</v>
      </c>
      <c r="AE202" s="22">
        <v>595.02</v>
      </c>
      <c r="AF202" s="22">
        <f t="shared" si="3"/>
        <v>595.02</v>
      </c>
      <c r="AG202" s="22">
        <v>0</v>
      </c>
      <c r="AH202" s="22">
        <v>595.02</v>
      </c>
      <c r="AI202" t="s">
        <v>562</v>
      </c>
      <c r="AJ202" t="s">
        <v>563</v>
      </c>
    </row>
    <row r="203" spans="1:36" ht="29" outlineLevel="2" x14ac:dyDescent="0.35">
      <c r="A203" s="19" t="s">
        <v>551</v>
      </c>
      <c r="B203" s="19" t="s">
        <v>636</v>
      </c>
      <c r="C203" s="19" t="s">
        <v>594</v>
      </c>
      <c r="D203" s="19">
        <v>2019</v>
      </c>
      <c r="E203" s="19" t="s">
        <v>554</v>
      </c>
      <c r="F203" s="19">
        <v>80089226</v>
      </c>
      <c r="G203" s="19" t="s">
        <v>1279</v>
      </c>
      <c r="H203" s="19" t="s">
        <v>1280</v>
      </c>
      <c r="I203" s="19" t="s">
        <v>31</v>
      </c>
      <c r="J203" s="20">
        <v>1</v>
      </c>
      <c r="K203" s="21">
        <v>43684</v>
      </c>
      <c r="L203" s="21">
        <v>43684</v>
      </c>
      <c r="M203" s="21">
        <v>43815</v>
      </c>
      <c r="N203" s="24" t="s">
        <v>2448</v>
      </c>
      <c r="O203" s="19" t="s">
        <v>557</v>
      </c>
      <c r="P203" s="19" t="s">
        <v>665</v>
      </c>
      <c r="Q203" s="19" t="s">
        <v>735</v>
      </c>
      <c r="R203" s="19" t="s">
        <v>570</v>
      </c>
      <c r="S203" s="19" t="s">
        <v>1281</v>
      </c>
      <c r="T203" t="s">
        <v>223</v>
      </c>
      <c r="U203" s="22">
        <v>0</v>
      </c>
      <c r="V203" s="22">
        <v>0</v>
      </c>
      <c r="W203" s="22">
        <v>537.19000000000005</v>
      </c>
      <c r="X203" s="22">
        <v>0</v>
      </c>
      <c r="Y203" s="22">
        <v>97.19</v>
      </c>
      <c r="Z203" s="22">
        <v>0</v>
      </c>
      <c r="AA203" s="22">
        <v>0</v>
      </c>
      <c r="AB203" s="22">
        <v>-30.32</v>
      </c>
      <c r="AC203" s="22">
        <v>0</v>
      </c>
      <c r="AD203" s="22">
        <v>0</v>
      </c>
      <c r="AE203" s="22">
        <v>634.38</v>
      </c>
      <c r="AF203" s="22">
        <f t="shared" si="3"/>
        <v>604.05999999999995</v>
      </c>
      <c r="AG203" s="22">
        <v>0</v>
      </c>
      <c r="AH203" s="22">
        <v>604.05999999999995</v>
      </c>
      <c r="AI203" t="s">
        <v>562</v>
      </c>
      <c r="AJ203" t="s">
        <v>563</v>
      </c>
    </row>
    <row r="204" spans="1:36" ht="43.5" outlineLevel="2" x14ac:dyDescent="0.35">
      <c r="A204" s="19" t="s">
        <v>551</v>
      </c>
      <c r="B204" s="19" t="s">
        <v>748</v>
      </c>
      <c r="C204" s="19" t="s">
        <v>749</v>
      </c>
      <c r="D204" s="19">
        <v>2019</v>
      </c>
      <c r="E204" s="19" t="s">
        <v>554</v>
      </c>
      <c r="F204" s="19">
        <v>80089234</v>
      </c>
      <c r="G204" s="19" t="s">
        <v>1282</v>
      </c>
      <c r="H204" s="19" t="s">
        <v>1283</v>
      </c>
      <c r="I204" s="19" t="s">
        <v>31</v>
      </c>
      <c r="J204" s="20">
        <v>1</v>
      </c>
      <c r="K204" s="21">
        <v>43684</v>
      </c>
      <c r="L204" s="21">
        <v>43685</v>
      </c>
      <c r="M204" s="21">
        <v>44291</v>
      </c>
      <c r="N204" s="24" t="s">
        <v>2448</v>
      </c>
      <c r="O204" s="19" t="s">
        <v>557</v>
      </c>
      <c r="P204" s="19" t="s">
        <v>609</v>
      </c>
      <c r="Q204" s="19" t="s">
        <v>577</v>
      </c>
      <c r="R204" s="19" t="s">
        <v>708</v>
      </c>
      <c r="S204" s="19" t="s">
        <v>1284</v>
      </c>
      <c r="T204" t="s">
        <v>121</v>
      </c>
      <c r="U204" s="22">
        <v>0</v>
      </c>
      <c r="V204" s="22">
        <v>0</v>
      </c>
      <c r="W204" s="22">
        <v>389.55</v>
      </c>
      <c r="X204" s="22">
        <v>0</v>
      </c>
      <c r="Y204" s="22">
        <v>59.46</v>
      </c>
      <c r="Z204" s="22">
        <v>0</v>
      </c>
      <c r="AA204" s="22">
        <v>0</v>
      </c>
      <c r="AB204" s="22">
        <v>0</v>
      </c>
      <c r="AC204" s="22">
        <v>0</v>
      </c>
      <c r="AD204" s="22">
        <v>0</v>
      </c>
      <c r="AE204" s="22">
        <v>449.01</v>
      </c>
      <c r="AF204" s="22">
        <f t="shared" si="3"/>
        <v>449.01</v>
      </c>
      <c r="AG204" s="22">
        <v>0</v>
      </c>
      <c r="AH204" s="22">
        <v>449.01</v>
      </c>
      <c r="AI204" t="s">
        <v>562</v>
      </c>
      <c r="AJ204" t="s">
        <v>563</v>
      </c>
    </row>
    <row r="205" spans="1:36" ht="58" outlineLevel="2" x14ac:dyDescent="0.35">
      <c r="A205" s="19" t="s">
        <v>551</v>
      </c>
      <c r="B205" s="19" t="s">
        <v>945</v>
      </c>
      <c r="C205" s="19" t="s">
        <v>946</v>
      </c>
      <c r="D205" s="19">
        <v>2019</v>
      </c>
      <c r="E205" s="19" t="s">
        <v>554</v>
      </c>
      <c r="F205" s="19">
        <v>80089219</v>
      </c>
      <c r="G205" s="19" t="s">
        <v>1285</v>
      </c>
      <c r="H205" s="19" t="s">
        <v>1286</v>
      </c>
      <c r="I205" s="19" t="s">
        <v>31</v>
      </c>
      <c r="J205" s="20">
        <v>1</v>
      </c>
      <c r="K205" s="21">
        <v>43669</v>
      </c>
      <c r="L205" s="21">
        <v>43669</v>
      </c>
      <c r="M205" s="21">
        <v>43994</v>
      </c>
      <c r="N205" s="24" t="s">
        <v>2448</v>
      </c>
      <c r="O205" s="19" t="s">
        <v>557</v>
      </c>
      <c r="P205" s="19" t="s">
        <v>558</v>
      </c>
      <c r="Q205" s="19" t="s">
        <v>782</v>
      </c>
      <c r="R205" s="19" t="s">
        <v>670</v>
      </c>
      <c r="S205" s="19" t="s">
        <v>1287</v>
      </c>
      <c r="T205" t="s">
        <v>51</v>
      </c>
      <c r="U205" s="22">
        <v>0</v>
      </c>
      <c r="V205" s="22">
        <v>0</v>
      </c>
      <c r="W205" s="22">
        <v>857.99</v>
      </c>
      <c r="X205" s="22">
        <v>0</v>
      </c>
      <c r="Y205" s="22">
        <v>1216.95</v>
      </c>
      <c r="Z205" s="22">
        <v>0</v>
      </c>
      <c r="AA205" s="22">
        <v>0</v>
      </c>
      <c r="AB205" s="22">
        <v>0</v>
      </c>
      <c r="AC205" s="22">
        <v>0</v>
      </c>
      <c r="AD205" s="22">
        <v>0</v>
      </c>
      <c r="AE205" s="22">
        <v>2074.94</v>
      </c>
      <c r="AF205" s="22">
        <f t="shared" si="3"/>
        <v>2074.94</v>
      </c>
      <c r="AG205" s="22">
        <v>0</v>
      </c>
      <c r="AH205" s="22">
        <v>2074.94</v>
      </c>
      <c r="AI205" t="s">
        <v>562</v>
      </c>
      <c r="AJ205" t="s">
        <v>563</v>
      </c>
    </row>
    <row r="206" spans="1:36" ht="43.5" outlineLevel="2" x14ac:dyDescent="0.35">
      <c r="A206" s="19" t="s">
        <v>551</v>
      </c>
      <c r="B206" s="19" t="s">
        <v>885</v>
      </c>
      <c r="C206" s="19" t="s">
        <v>749</v>
      </c>
      <c r="D206" s="19">
        <v>2019</v>
      </c>
      <c r="E206" s="19" t="s">
        <v>554</v>
      </c>
      <c r="F206" s="19">
        <v>80089259</v>
      </c>
      <c r="G206" s="19" t="s">
        <v>1288</v>
      </c>
      <c r="H206" s="19" t="s">
        <v>1289</v>
      </c>
      <c r="I206" s="19" t="s">
        <v>31</v>
      </c>
      <c r="J206" s="20">
        <v>1</v>
      </c>
      <c r="K206" s="21">
        <v>43668</v>
      </c>
      <c r="L206" s="21">
        <v>43668</v>
      </c>
      <c r="M206" s="21">
        <v>43713</v>
      </c>
      <c r="N206" s="24" t="s">
        <v>2448</v>
      </c>
      <c r="O206" s="19" t="s">
        <v>557</v>
      </c>
      <c r="P206" s="19" t="s">
        <v>609</v>
      </c>
      <c r="Q206" s="19" t="s">
        <v>590</v>
      </c>
      <c r="R206" s="19" t="s">
        <v>578</v>
      </c>
      <c r="S206" s="19" t="s">
        <v>1290</v>
      </c>
      <c r="T206" t="s">
        <v>98</v>
      </c>
      <c r="U206" s="22">
        <v>0</v>
      </c>
      <c r="V206" s="22">
        <v>0</v>
      </c>
      <c r="W206" s="22">
        <v>304.54000000000002</v>
      </c>
      <c r="X206" s="22">
        <v>0</v>
      </c>
      <c r="Y206" s="22">
        <v>32.82</v>
      </c>
      <c r="Z206" s="22">
        <v>0</v>
      </c>
      <c r="AA206" s="22">
        <v>0</v>
      </c>
      <c r="AB206" s="22">
        <v>0</v>
      </c>
      <c r="AC206" s="22">
        <v>0</v>
      </c>
      <c r="AD206" s="22">
        <v>0</v>
      </c>
      <c r="AE206" s="22">
        <v>337.36</v>
      </c>
      <c r="AF206" s="22">
        <f t="shared" si="3"/>
        <v>337.36</v>
      </c>
      <c r="AG206" s="22">
        <v>0</v>
      </c>
      <c r="AH206" s="22">
        <v>337.36</v>
      </c>
      <c r="AI206" t="s">
        <v>562</v>
      </c>
      <c r="AJ206" t="s">
        <v>657</v>
      </c>
    </row>
    <row r="207" spans="1:36" ht="43.5" outlineLevel="2" x14ac:dyDescent="0.35">
      <c r="A207" s="19" t="s">
        <v>551</v>
      </c>
      <c r="B207" s="19" t="s">
        <v>885</v>
      </c>
      <c r="C207" s="19" t="s">
        <v>749</v>
      </c>
      <c r="D207" s="19">
        <v>2019</v>
      </c>
      <c r="E207" s="19" t="s">
        <v>554</v>
      </c>
      <c r="F207" s="19">
        <v>80089218</v>
      </c>
      <c r="G207" s="19" t="s">
        <v>1291</v>
      </c>
      <c r="H207" s="19" t="s">
        <v>1292</v>
      </c>
      <c r="I207" s="19" t="s">
        <v>31</v>
      </c>
      <c r="J207" s="20">
        <v>1</v>
      </c>
      <c r="K207" s="21">
        <v>43661</v>
      </c>
      <c r="L207" s="21">
        <v>43663</v>
      </c>
      <c r="M207" s="21">
        <v>44288</v>
      </c>
      <c r="N207" s="24" t="s">
        <v>2448</v>
      </c>
      <c r="O207" s="19" t="s">
        <v>557</v>
      </c>
      <c r="P207" s="19" t="s">
        <v>568</v>
      </c>
      <c r="Q207" s="19" t="s">
        <v>569</v>
      </c>
      <c r="R207" s="19" t="s">
        <v>570</v>
      </c>
      <c r="S207" s="19" t="s">
        <v>1293</v>
      </c>
      <c r="T207" t="s">
        <v>98</v>
      </c>
      <c r="U207" s="22">
        <v>8641.73</v>
      </c>
      <c r="V207" s="22">
        <v>0</v>
      </c>
      <c r="W207" s="22">
        <v>2888.04</v>
      </c>
      <c r="X207" s="22">
        <v>0</v>
      </c>
      <c r="Y207" s="22">
        <v>248.02</v>
      </c>
      <c r="Z207" s="22">
        <v>0</v>
      </c>
      <c r="AA207" s="22">
        <v>0</v>
      </c>
      <c r="AB207" s="22">
        <v>0</v>
      </c>
      <c r="AC207" s="22">
        <v>0</v>
      </c>
      <c r="AD207" s="22">
        <v>0</v>
      </c>
      <c r="AE207" s="22">
        <v>11777.79</v>
      </c>
      <c r="AF207" s="22">
        <f t="shared" si="3"/>
        <v>11777.79</v>
      </c>
      <c r="AG207" s="22">
        <v>0</v>
      </c>
      <c r="AH207" s="22">
        <v>11777.79</v>
      </c>
      <c r="AI207" t="s">
        <v>562</v>
      </c>
      <c r="AJ207" t="s">
        <v>563</v>
      </c>
    </row>
    <row r="208" spans="1:36" ht="43.5" outlineLevel="2" x14ac:dyDescent="0.35">
      <c r="A208" s="19" t="s">
        <v>551</v>
      </c>
      <c r="B208" s="19" t="s">
        <v>1001</v>
      </c>
      <c r="C208" s="19" t="s">
        <v>1002</v>
      </c>
      <c r="D208" s="19">
        <v>2019</v>
      </c>
      <c r="E208" s="19" t="s">
        <v>554</v>
      </c>
      <c r="F208" s="19">
        <v>80089348</v>
      </c>
      <c r="G208" s="19" t="s">
        <v>1294</v>
      </c>
      <c r="H208" s="19" t="s">
        <v>1295</v>
      </c>
      <c r="I208" s="19" t="s">
        <v>31</v>
      </c>
      <c r="J208" s="20">
        <v>1</v>
      </c>
      <c r="K208" s="21">
        <v>43655</v>
      </c>
      <c r="L208" s="21">
        <v>43661</v>
      </c>
      <c r="M208" s="21">
        <v>44291</v>
      </c>
      <c r="N208" s="24" t="s">
        <v>2448</v>
      </c>
      <c r="O208" s="19" t="s">
        <v>557</v>
      </c>
      <c r="P208" s="19" t="s">
        <v>568</v>
      </c>
      <c r="Q208" s="19" t="s">
        <v>655</v>
      </c>
      <c r="R208" s="19" t="s">
        <v>670</v>
      </c>
      <c r="S208" s="19" t="s">
        <v>1296</v>
      </c>
      <c r="T208" t="s">
        <v>51</v>
      </c>
      <c r="U208" s="22">
        <v>0</v>
      </c>
      <c r="V208" s="22">
        <v>0</v>
      </c>
      <c r="W208" s="22">
        <v>198.65</v>
      </c>
      <c r="X208" s="22">
        <v>0</v>
      </c>
      <c r="Y208" s="22">
        <v>30.03</v>
      </c>
      <c r="Z208" s="22">
        <v>0</v>
      </c>
      <c r="AA208" s="22">
        <v>0</v>
      </c>
      <c r="AB208" s="22">
        <v>0</v>
      </c>
      <c r="AC208" s="22">
        <v>0</v>
      </c>
      <c r="AD208" s="22">
        <v>0</v>
      </c>
      <c r="AE208" s="22">
        <v>228.68</v>
      </c>
      <c r="AF208" s="22">
        <f t="shared" si="3"/>
        <v>228.68</v>
      </c>
      <c r="AG208" s="22">
        <v>0</v>
      </c>
      <c r="AH208" s="22">
        <v>228.68</v>
      </c>
      <c r="AI208" t="s">
        <v>562</v>
      </c>
      <c r="AJ208" t="s">
        <v>563</v>
      </c>
    </row>
    <row r="209" spans="1:36" ht="43.5" outlineLevel="2" x14ac:dyDescent="0.35">
      <c r="A209" s="19" t="s">
        <v>551</v>
      </c>
      <c r="B209" s="19" t="s">
        <v>605</v>
      </c>
      <c r="C209" s="19" t="s">
        <v>606</v>
      </c>
      <c r="D209" s="19">
        <v>2019</v>
      </c>
      <c r="E209" s="19" t="s">
        <v>554</v>
      </c>
      <c r="F209" s="19">
        <v>80090376</v>
      </c>
      <c r="G209" s="19" t="s">
        <v>1297</v>
      </c>
      <c r="H209" s="19" t="s">
        <v>1298</v>
      </c>
      <c r="I209" s="19" t="s">
        <v>31</v>
      </c>
      <c r="J209" s="20">
        <v>1</v>
      </c>
      <c r="K209" s="21">
        <v>43655</v>
      </c>
      <c r="L209" s="21">
        <v>43719</v>
      </c>
      <c r="M209" s="21">
        <v>44291</v>
      </c>
      <c r="N209" s="24" t="s">
        <v>2448</v>
      </c>
      <c r="O209" s="19" t="s">
        <v>557</v>
      </c>
      <c r="P209" s="19" t="s">
        <v>609</v>
      </c>
      <c r="Q209" s="19" t="s">
        <v>590</v>
      </c>
      <c r="R209" s="19" t="s">
        <v>616</v>
      </c>
      <c r="S209" s="19" t="s">
        <v>1299</v>
      </c>
      <c r="T209" t="s">
        <v>69</v>
      </c>
      <c r="U209" s="22">
        <v>0</v>
      </c>
      <c r="V209" s="22">
        <v>0</v>
      </c>
      <c r="W209" s="22">
        <v>350.88</v>
      </c>
      <c r="X209" s="22">
        <v>0</v>
      </c>
      <c r="Y209" s="22">
        <v>92.97</v>
      </c>
      <c r="Z209" s="22">
        <v>0</v>
      </c>
      <c r="AA209" s="22">
        <v>0</v>
      </c>
      <c r="AB209" s="22">
        <v>-44.66</v>
      </c>
      <c r="AC209" s="22">
        <v>0</v>
      </c>
      <c r="AD209" s="22">
        <v>0</v>
      </c>
      <c r="AE209" s="22">
        <v>443.85</v>
      </c>
      <c r="AF209" s="22">
        <f t="shared" si="3"/>
        <v>399.19000000000005</v>
      </c>
      <c r="AG209" s="22">
        <v>0</v>
      </c>
      <c r="AH209" s="22">
        <v>399.19</v>
      </c>
      <c r="AI209" t="s">
        <v>562</v>
      </c>
      <c r="AJ209" t="s">
        <v>563</v>
      </c>
    </row>
    <row r="210" spans="1:36" ht="58" outlineLevel="2" x14ac:dyDescent="0.35">
      <c r="A210" s="19" t="s">
        <v>551</v>
      </c>
      <c r="B210" s="19" t="s">
        <v>1258</v>
      </c>
      <c r="C210" s="19" t="s">
        <v>1259</v>
      </c>
      <c r="D210" s="19">
        <v>2019</v>
      </c>
      <c r="E210" s="19" t="s">
        <v>554</v>
      </c>
      <c r="F210" s="19">
        <v>80089263</v>
      </c>
      <c r="G210" s="19" t="s">
        <v>1300</v>
      </c>
      <c r="H210" s="19" t="s">
        <v>1301</v>
      </c>
      <c r="I210" s="19" t="s">
        <v>31</v>
      </c>
      <c r="J210" s="20">
        <v>1</v>
      </c>
      <c r="K210" s="21">
        <v>43654</v>
      </c>
      <c r="L210" s="21">
        <v>43654</v>
      </c>
      <c r="M210" s="21">
        <v>44291</v>
      </c>
      <c r="N210" s="24" t="s">
        <v>2448</v>
      </c>
      <c r="O210" s="19" t="s">
        <v>603</v>
      </c>
      <c r="P210" s="19" t="s">
        <v>568</v>
      </c>
      <c r="Q210" s="19" t="s">
        <v>1201</v>
      </c>
      <c r="R210" s="19" t="s">
        <v>578</v>
      </c>
      <c r="S210" s="19" t="s">
        <v>1302</v>
      </c>
      <c r="T210" t="s">
        <v>69</v>
      </c>
      <c r="U210" s="22">
        <v>0</v>
      </c>
      <c r="V210" s="22">
        <v>0</v>
      </c>
      <c r="W210" s="22">
        <v>1560.68</v>
      </c>
      <c r="X210" s="22">
        <v>0</v>
      </c>
      <c r="Y210" s="22">
        <v>130.38</v>
      </c>
      <c r="Z210" s="22">
        <v>0</v>
      </c>
      <c r="AA210" s="22">
        <v>0</v>
      </c>
      <c r="AB210" s="22">
        <v>-5.88</v>
      </c>
      <c r="AC210" s="22">
        <v>0</v>
      </c>
      <c r="AD210" s="22">
        <v>0</v>
      </c>
      <c r="AE210" s="22">
        <v>1691.06</v>
      </c>
      <c r="AF210" s="22">
        <f t="shared" si="3"/>
        <v>1685.1799999999998</v>
      </c>
      <c r="AG210" s="22">
        <v>0</v>
      </c>
      <c r="AH210" s="22">
        <v>1685.18</v>
      </c>
      <c r="AI210" t="s">
        <v>562</v>
      </c>
      <c r="AJ210" t="s">
        <v>563</v>
      </c>
    </row>
    <row r="211" spans="1:36" ht="29" outlineLevel="2" x14ac:dyDescent="0.35">
      <c r="A211" s="19" t="s">
        <v>551</v>
      </c>
      <c r="B211" s="19" t="s">
        <v>658</v>
      </c>
      <c r="C211" s="19" t="s">
        <v>643</v>
      </c>
      <c r="D211" s="19">
        <v>2019</v>
      </c>
      <c r="E211" s="19" t="s">
        <v>554</v>
      </c>
      <c r="F211" s="19">
        <v>80089314</v>
      </c>
      <c r="G211" s="19" t="s">
        <v>1303</v>
      </c>
      <c r="H211" s="19" t="s">
        <v>1304</v>
      </c>
      <c r="I211" s="19" t="s">
        <v>31</v>
      </c>
      <c r="J211" s="20">
        <v>1</v>
      </c>
      <c r="K211" s="21">
        <v>43648</v>
      </c>
      <c r="L211" s="21">
        <v>43654</v>
      </c>
      <c r="M211" s="21">
        <v>43782</v>
      </c>
      <c r="N211" s="24" t="s">
        <v>2448</v>
      </c>
      <c r="O211" s="19" t="s">
        <v>557</v>
      </c>
      <c r="P211" s="19" t="s">
        <v>665</v>
      </c>
      <c r="Q211" s="19" t="s">
        <v>569</v>
      </c>
      <c r="R211" s="19" t="s">
        <v>570</v>
      </c>
      <c r="S211" s="19" t="s">
        <v>1305</v>
      </c>
      <c r="T211" t="s">
        <v>62</v>
      </c>
      <c r="U211" s="22">
        <v>0</v>
      </c>
      <c r="V211" s="22">
        <v>0</v>
      </c>
      <c r="W211" s="22">
        <v>2153.36</v>
      </c>
      <c r="X211" s="22">
        <v>0</v>
      </c>
      <c r="Y211" s="22">
        <v>273.17</v>
      </c>
      <c r="Z211" s="22">
        <v>0</v>
      </c>
      <c r="AA211" s="22">
        <v>0</v>
      </c>
      <c r="AB211" s="22">
        <v>-85.77</v>
      </c>
      <c r="AC211" s="22">
        <v>0</v>
      </c>
      <c r="AD211" s="22">
        <v>0</v>
      </c>
      <c r="AE211" s="22">
        <v>2426.5300000000002</v>
      </c>
      <c r="AF211" s="22">
        <f t="shared" si="3"/>
        <v>2340.7600000000002</v>
      </c>
      <c r="AG211" s="22">
        <v>0</v>
      </c>
      <c r="AH211" s="22">
        <v>2340.7600000000002</v>
      </c>
      <c r="AI211" t="s">
        <v>562</v>
      </c>
      <c r="AJ211" t="s">
        <v>563</v>
      </c>
    </row>
    <row r="212" spans="1:36" ht="29" outlineLevel="2" x14ac:dyDescent="0.35">
      <c r="A212" s="19" t="s">
        <v>551</v>
      </c>
      <c r="D212" s="19">
        <v>2019</v>
      </c>
      <c r="E212" s="19" t="s">
        <v>834</v>
      </c>
      <c r="F212" s="19" t="s">
        <v>835</v>
      </c>
      <c r="K212" s="21"/>
      <c r="L212" s="21"/>
      <c r="N212" s="24" t="s">
        <v>2448</v>
      </c>
      <c r="U212" s="22">
        <v>0</v>
      </c>
      <c r="V212" s="22">
        <v>0</v>
      </c>
      <c r="W212" s="22">
        <v>0</v>
      </c>
      <c r="X212" s="22">
        <v>0</v>
      </c>
      <c r="Y212" s="22">
        <v>0</v>
      </c>
      <c r="Z212" s="22">
        <v>0</v>
      </c>
      <c r="AA212" s="22">
        <v>0</v>
      </c>
      <c r="AB212" s="22">
        <v>0</v>
      </c>
      <c r="AC212" s="22">
        <v>0</v>
      </c>
      <c r="AD212" s="22">
        <v>0</v>
      </c>
      <c r="AE212" s="22">
        <v>0</v>
      </c>
      <c r="AF212" s="22">
        <f t="shared" si="3"/>
        <v>0</v>
      </c>
      <c r="AG212" s="22">
        <v>0</v>
      </c>
      <c r="AH212" s="22">
        <v>0</v>
      </c>
      <c r="AI212" t="s">
        <v>562</v>
      </c>
      <c r="AJ212" t="s">
        <v>1306</v>
      </c>
    </row>
    <row r="213" spans="1:36" ht="43.5" outlineLevel="2" x14ac:dyDescent="0.35">
      <c r="A213" s="19" t="s">
        <v>551</v>
      </c>
      <c r="B213" s="19" t="s">
        <v>672</v>
      </c>
      <c r="C213" s="19" t="s">
        <v>673</v>
      </c>
      <c r="D213" s="19">
        <v>2018</v>
      </c>
      <c r="E213" s="19" t="s">
        <v>554</v>
      </c>
      <c r="F213" s="19">
        <v>80089252</v>
      </c>
      <c r="G213" s="19" t="s">
        <v>1307</v>
      </c>
      <c r="H213" s="19" t="s">
        <v>1308</v>
      </c>
      <c r="I213" s="19" t="s">
        <v>31</v>
      </c>
      <c r="J213" s="20">
        <v>1</v>
      </c>
      <c r="K213" s="21">
        <v>43634</v>
      </c>
      <c r="L213" s="21">
        <v>43635</v>
      </c>
      <c r="M213" s="21">
        <v>43676</v>
      </c>
      <c r="N213" s="24" t="s">
        <v>2448</v>
      </c>
      <c r="O213" s="19" t="s">
        <v>557</v>
      </c>
      <c r="P213" s="19" t="s">
        <v>568</v>
      </c>
      <c r="Q213" s="19" t="s">
        <v>655</v>
      </c>
      <c r="R213" s="19" t="s">
        <v>578</v>
      </c>
      <c r="S213" s="19" t="s">
        <v>1309</v>
      </c>
      <c r="T213" t="s">
        <v>51</v>
      </c>
      <c r="U213" s="22">
        <v>0</v>
      </c>
      <c r="V213" s="22">
        <v>0</v>
      </c>
      <c r="W213" s="22">
        <v>397.22</v>
      </c>
      <c r="X213" s="22">
        <v>0</v>
      </c>
      <c r="Y213" s="22">
        <v>59</v>
      </c>
      <c r="Z213" s="22">
        <v>0</v>
      </c>
      <c r="AA213" s="22">
        <v>0</v>
      </c>
      <c r="AB213" s="22">
        <v>0</v>
      </c>
      <c r="AC213" s="22">
        <v>0</v>
      </c>
      <c r="AD213" s="22">
        <v>0</v>
      </c>
      <c r="AE213" s="22">
        <v>456.22</v>
      </c>
      <c r="AF213" s="22">
        <f t="shared" si="3"/>
        <v>456.22</v>
      </c>
      <c r="AG213" s="22">
        <v>0</v>
      </c>
      <c r="AH213" s="22">
        <v>456.22</v>
      </c>
      <c r="AI213" t="s">
        <v>562</v>
      </c>
      <c r="AJ213" t="s">
        <v>1306</v>
      </c>
    </row>
    <row r="214" spans="1:36" ht="43.5" outlineLevel="2" x14ac:dyDescent="0.35">
      <c r="A214" s="19" t="s">
        <v>551</v>
      </c>
      <c r="B214" s="19" t="s">
        <v>748</v>
      </c>
      <c r="C214" s="19" t="s">
        <v>749</v>
      </c>
      <c r="D214" s="19">
        <v>2018</v>
      </c>
      <c r="E214" s="19" t="s">
        <v>554</v>
      </c>
      <c r="F214" s="19">
        <v>80089214</v>
      </c>
      <c r="G214" s="19" t="s">
        <v>1310</v>
      </c>
      <c r="H214" s="19" t="s">
        <v>1311</v>
      </c>
      <c r="I214" s="19" t="s">
        <v>31</v>
      </c>
      <c r="J214" s="20">
        <v>1</v>
      </c>
      <c r="K214" s="21">
        <v>43633</v>
      </c>
      <c r="L214" s="21">
        <v>43637</v>
      </c>
      <c r="M214" s="21">
        <v>44167</v>
      </c>
      <c r="N214" s="24" t="s">
        <v>2448</v>
      </c>
      <c r="O214" s="19" t="s">
        <v>557</v>
      </c>
      <c r="P214" s="19" t="s">
        <v>665</v>
      </c>
      <c r="Q214" s="19" t="s">
        <v>864</v>
      </c>
      <c r="R214" s="19" t="s">
        <v>570</v>
      </c>
      <c r="S214" s="19" t="s">
        <v>1312</v>
      </c>
      <c r="T214" t="s">
        <v>121</v>
      </c>
      <c r="U214" s="22">
        <v>37103.29</v>
      </c>
      <c r="V214" s="22">
        <v>0</v>
      </c>
      <c r="W214" s="22">
        <v>28121.9</v>
      </c>
      <c r="X214" s="22">
        <v>0</v>
      </c>
      <c r="Y214" s="22">
        <v>1377.54</v>
      </c>
      <c r="Z214" s="22">
        <v>0</v>
      </c>
      <c r="AA214" s="22">
        <v>0</v>
      </c>
      <c r="AB214" s="22">
        <v>-26.78</v>
      </c>
      <c r="AC214" s="22">
        <v>0</v>
      </c>
      <c r="AD214" s="22">
        <v>0</v>
      </c>
      <c r="AE214" s="22">
        <v>66602.73</v>
      </c>
      <c r="AF214" s="22">
        <f t="shared" si="3"/>
        <v>66575.95</v>
      </c>
      <c r="AG214" s="22">
        <v>0</v>
      </c>
      <c r="AH214" s="22">
        <v>66575.95</v>
      </c>
      <c r="AI214" t="s">
        <v>562</v>
      </c>
      <c r="AJ214" t="s">
        <v>1306</v>
      </c>
    </row>
    <row r="215" spans="1:36" ht="101.5" outlineLevel="2" x14ac:dyDescent="0.35">
      <c r="A215" s="19" t="s">
        <v>551</v>
      </c>
      <c r="B215" s="19" t="s">
        <v>572</v>
      </c>
      <c r="C215" s="19" t="s">
        <v>573</v>
      </c>
      <c r="D215" s="19">
        <v>2018</v>
      </c>
      <c r="E215" s="19" t="s">
        <v>554</v>
      </c>
      <c r="F215" s="19">
        <v>80089331</v>
      </c>
      <c r="G215" s="19" t="s">
        <v>1313</v>
      </c>
      <c r="H215" s="19" t="s">
        <v>1314</v>
      </c>
      <c r="I215" s="19" t="s">
        <v>31</v>
      </c>
      <c r="J215" s="20">
        <v>1</v>
      </c>
      <c r="K215" s="21">
        <v>43630</v>
      </c>
      <c r="L215" s="21">
        <v>43661</v>
      </c>
      <c r="M215" s="21">
        <v>43718</v>
      </c>
      <c r="N215" s="24" t="s">
        <v>2448</v>
      </c>
      <c r="O215" s="19" t="s">
        <v>557</v>
      </c>
      <c r="P215" s="19" t="s">
        <v>568</v>
      </c>
      <c r="Q215" s="19" t="s">
        <v>735</v>
      </c>
      <c r="R215" s="19" t="s">
        <v>591</v>
      </c>
      <c r="S215" s="19" t="s">
        <v>1315</v>
      </c>
      <c r="T215" t="s">
        <v>139</v>
      </c>
      <c r="U215" s="22">
        <v>0</v>
      </c>
      <c r="V215" s="22">
        <v>0</v>
      </c>
      <c r="W215" s="22">
        <v>741.5</v>
      </c>
      <c r="X215" s="22">
        <v>0</v>
      </c>
      <c r="Y215" s="22">
        <v>123.42</v>
      </c>
      <c r="Z215" s="22">
        <v>0</v>
      </c>
      <c r="AA215" s="22">
        <v>0</v>
      </c>
      <c r="AB215" s="22">
        <v>0</v>
      </c>
      <c r="AC215" s="22">
        <v>0</v>
      </c>
      <c r="AD215" s="22">
        <v>0</v>
      </c>
      <c r="AE215" s="22">
        <v>864.92</v>
      </c>
      <c r="AF215" s="22">
        <f t="shared" si="3"/>
        <v>864.92</v>
      </c>
      <c r="AG215" s="22">
        <v>0</v>
      </c>
      <c r="AH215" s="22">
        <v>864.92</v>
      </c>
      <c r="AI215" t="s">
        <v>562</v>
      </c>
      <c r="AJ215" t="s">
        <v>1306</v>
      </c>
    </row>
    <row r="216" spans="1:36" ht="72.5" outlineLevel="2" x14ac:dyDescent="0.35">
      <c r="A216" s="19" t="s">
        <v>551</v>
      </c>
      <c r="B216" s="19" t="s">
        <v>986</v>
      </c>
      <c r="C216" s="19" t="s">
        <v>553</v>
      </c>
      <c r="D216" s="19">
        <v>2018</v>
      </c>
      <c r="E216" s="19" t="s">
        <v>554</v>
      </c>
      <c r="F216" s="19">
        <v>80089328</v>
      </c>
      <c r="G216" s="19" t="s">
        <v>1316</v>
      </c>
      <c r="H216" s="19" t="s">
        <v>1317</v>
      </c>
      <c r="I216" s="19" t="s">
        <v>31</v>
      </c>
      <c r="J216" s="20">
        <v>1</v>
      </c>
      <c r="K216" s="21">
        <v>43627</v>
      </c>
      <c r="L216" s="21">
        <v>43633</v>
      </c>
      <c r="M216" s="21">
        <v>44022</v>
      </c>
      <c r="N216" s="24" t="s">
        <v>2448</v>
      </c>
      <c r="O216" s="19" t="s">
        <v>557</v>
      </c>
      <c r="P216" s="19" t="s">
        <v>665</v>
      </c>
      <c r="Q216" s="19" t="s">
        <v>590</v>
      </c>
      <c r="R216" s="19" t="s">
        <v>570</v>
      </c>
      <c r="S216" s="19" t="s">
        <v>1318</v>
      </c>
      <c r="T216" t="s">
        <v>169</v>
      </c>
      <c r="U216" s="22">
        <v>0</v>
      </c>
      <c r="V216" s="22">
        <v>0</v>
      </c>
      <c r="W216" s="22">
        <v>10142.219999999999</v>
      </c>
      <c r="X216" s="22">
        <v>0</v>
      </c>
      <c r="Y216" s="22">
        <v>674.86</v>
      </c>
      <c r="Z216" s="22">
        <v>0</v>
      </c>
      <c r="AA216" s="22">
        <v>0</v>
      </c>
      <c r="AB216" s="22">
        <v>-229.85</v>
      </c>
      <c r="AC216" s="22">
        <v>0</v>
      </c>
      <c r="AD216" s="22">
        <v>0</v>
      </c>
      <c r="AE216" s="22">
        <v>10817.08</v>
      </c>
      <c r="AF216" s="22">
        <f t="shared" si="3"/>
        <v>10587.23</v>
      </c>
      <c r="AG216" s="22">
        <v>0</v>
      </c>
      <c r="AH216" s="22">
        <v>10587.23</v>
      </c>
      <c r="AI216" t="s">
        <v>562</v>
      </c>
      <c r="AJ216" t="s">
        <v>1306</v>
      </c>
    </row>
    <row r="217" spans="1:36" ht="29" outlineLevel="2" x14ac:dyDescent="0.35">
      <c r="A217" s="19" t="s">
        <v>551</v>
      </c>
      <c r="B217" s="19" t="s">
        <v>1001</v>
      </c>
      <c r="C217" s="19" t="s">
        <v>1002</v>
      </c>
      <c r="D217" s="19">
        <v>2018</v>
      </c>
      <c r="E217" s="19" t="s">
        <v>554</v>
      </c>
      <c r="F217" s="19">
        <v>80083054</v>
      </c>
      <c r="G217" s="19" t="s">
        <v>1319</v>
      </c>
      <c r="H217" s="19" t="s">
        <v>1320</v>
      </c>
      <c r="I217" s="19" t="s">
        <v>31</v>
      </c>
      <c r="J217" s="20">
        <v>1</v>
      </c>
      <c r="K217" s="21">
        <v>43623</v>
      </c>
      <c r="L217" s="21">
        <v>43623</v>
      </c>
      <c r="M217" s="21">
        <v>45749</v>
      </c>
      <c r="N217" s="24" t="s">
        <v>2448</v>
      </c>
      <c r="O217" s="19" t="s">
        <v>557</v>
      </c>
      <c r="P217" s="19" t="s">
        <v>568</v>
      </c>
      <c r="Q217" s="19" t="s">
        <v>569</v>
      </c>
      <c r="R217" s="19" t="s">
        <v>560</v>
      </c>
      <c r="S217" s="19" t="s">
        <v>1321</v>
      </c>
      <c r="T217" t="s">
        <v>51</v>
      </c>
      <c r="U217" s="22">
        <v>158392.94</v>
      </c>
      <c r="V217" s="22">
        <v>-6000</v>
      </c>
      <c r="W217" s="22">
        <v>71038.98</v>
      </c>
      <c r="X217" s="22">
        <v>6000</v>
      </c>
      <c r="Y217" s="22">
        <v>30050.81</v>
      </c>
      <c r="Z217" s="22">
        <v>0</v>
      </c>
      <c r="AA217" s="22">
        <v>0</v>
      </c>
      <c r="AB217" s="22">
        <v>-754.39</v>
      </c>
      <c r="AC217" s="22">
        <v>0</v>
      </c>
      <c r="AD217" s="22">
        <v>-698.68</v>
      </c>
      <c r="AE217" s="22">
        <v>259482.73</v>
      </c>
      <c r="AF217" s="22">
        <f t="shared" si="3"/>
        <v>258728.34</v>
      </c>
      <c r="AG217" s="22">
        <v>0</v>
      </c>
      <c r="AH217" s="22">
        <v>258728.34</v>
      </c>
      <c r="AI217" t="s">
        <v>562</v>
      </c>
      <c r="AJ217" t="s">
        <v>1306</v>
      </c>
    </row>
    <row r="218" spans="1:36" ht="116" outlineLevel="2" x14ac:dyDescent="0.35">
      <c r="A218" s="19" t="s">
        <v>551</v>
      </c>
      <c r="B218" s="19" t="s">
        <v>1269</v>
      </c>
      <c r="C218" s="19" t="s">
        <v>673</v>
      </c>
      <c r="D218" s="19">
        <v>2018</v>
      </c>
      <c r="E218" s="19" t="s">
        <v>554</v>
      </c>
      <c r="F218" s="19">
        <v>80089205</v>
      </c>
      <c r="G218" s="19" t="s">
        <v>1322</v>
      </c>
      <c r="H218" s="19" t="s">
        <v>1323</v>
      </c>
      <c r="I218" s="19" t="s">
        <v>31</v>
      </c>
      <c r="J218" s="20">
        <v>1</v>
      </c>
      <c r="K218" s="21">
        <v>43623</v>
      </c>
      <c r="L218" s="21">
        <v>43626</v>
      </c>
      <c r="M218" s="21">
        <v>43670</v>
      </c>
      <c r="N218" s="24" t="s">
        <v>2448</v>
      </c>
      <c r="O218" s="19" t="s">
        <v>557</v>
      </c>
      <c r="P218" s="19" t="s">
        <v>568</v>
      </c>
      <c r="Q218" s="19" t="s">
        <v>655</v>
      </c>
      <c r="R218" s="19" t="s">
        <v>578</v>
      </c>
      <c r="S218" s="19" t="s">
        <v>1324</v>
      </c>
      <c r="T218" t="s">
        <v>51</v>
      </c>
      <c r="U218" s="22">
        <v>0</v>
      </c>
      <c r="V218" s="22">
        <v>0</v>
      </c>
      <c r="W218" s="22">
        <v>481.37</v>
      </c>
      <c r="X218" s="22">
        <v>0</v>
      </c>
      <c r="Y218" s="22">
        <v>54.11</v>
      </c>
      <c r="Z218" s="22">
        <v>0</v>
      </c>
      <c r="AA218" s="22">
        <v>0</v>
      </c>
      <c r="AB218" s="22">
        <v>0</v>
      </c>
      <c r="AC218" s="22">
        <v>0</v>
      </c>
      <c r="AD218" s="22">
        <v>0</v>
      </c>
      <c r="AE218" s="22">
        <v>535.48</v>
      </c>
      <c r="AF218" s="22">
        <f t="shared" si="3"/>
        <v>535.48</v>
      </c>
      <c r="AG218" s="22">
        <v>0</v>
      </c>
      <c r="AH218" s="22">
        <v>535.48</v>
      </c>
      <c r="AI218" t="s">
        <v>562</v>
      </c>
      <c r="AJ218" t="s">
        <v>1306</v>
      </c>
    </row>
    <row r="219" spans="1:36" ht="58" outlineLevel="2" x14ac:dyDescent="0.35">
      <c r="A219" s="19" t="s">
        <v>551</v>
      </c>
      <c r="B219" s="19" t="s">
        <v>636</v>
      </c>
      <c r="C219" s="19" t="s">
        <v>594</v>
      </c>
      <c r="D219" s="19">
        <v>2018</v>
      </c>
      <c r="E219" s="19" t="s">
        <v>554</v>
      </c>
      <c r="F219" s="19">
        <v>80089210</v>
      </c>
      <c r="G219" s="19" t="s">
        <v>1325</v>
      </c>
      <c r="H219" s="19" t="s">
        <v>1326</v>
      </c>
      <c r="I219" s="19" t="s">
        <v>31</v>
      </c>
      <c r="J219" s="20">
        <v>1</v>
      </c>
      <c r="K219" s="21">
        <v>43622</v>
      </c>
      <c r="L219" s="21">
        <v>43629</v>
      </c>
      <c r="M219" s="21">
        <v>44545</v>
      </c>
      <c r="N219" s="24" t="s">
        <v>2448</v>
      </c>
      <c r="O219" s="19" t="s">
        <v>557</v>
      </c>
      <c r="P219" s="19" t="s">
        <v>568</v>
      </c>
      <c r="Q219" s="19" t="s">
        <v>569</v>
      </c>
      <c r="R219" s="19" t="s">
        <v>591</v>
      </c>
      <c r="S219" s="19" t="s">
        <v>1327</v>
      </c>
      <c r="T219" t="s">
        <v>1328</v>
      </c>
      <c r="U219" s="22">
        <v>17623.439999999999</v>
      </c>
      <c r="V219" s="22">
        <v>0</v>
      </c>
      <c r="W219" s="22">
        <v>27071.58</v>
      </c>
      <c r="X219" s="22">
        <v>0</v>
      </c>
      <c r="Y219" s="22">
        <v>4688.16</v>
      </c>
      <c r="Z219" s="22">
        <v>0</v>
      </c>
      <c r="AA219" s="22">
        <v>0</v>
      </c>
      <c r="AB219" s="22">
        <v>-5132.97</v>
      </c>
      <c r="AC219" s="22">
        <v>0</v>
      </c>
      <c r="AD219" s="22">
        <v>0</v>
      </c>
      <c r="AE219" s="22">
        <v>49383.18</v>
      </c>
      <c r="AF219" s="22">
        <f t="shared" si="3"/>
        <v>44250.21</v>
      </c>
      <c r="AG219" s="22">
        <v>0</v>
      </c>
      <c r="AH219" s="22">
        <v>44250.21</v>
      </c>
      <c r="AI219" t="s">
        <v>562</v>
      </c>
      <c r="AJ219" t="s">
        <v>1306</v>
      </c>
    </row>
    <row r="220" spans="1:36" ht="43.5" outlineLevel="2" x14ac:dyDescent="0.35">
      <c r="A220" s="19" t="s">
        <v>551</v>
      </c>
      <c r="B220" s="19" t="s">
        <v>658</v>
      </c>
      <c r="C220" s="19" t="s">
        <v>643</v>
      </c>
      <c r="D220" s="19">
        <v>2018</v>
      </c>
      <c r="E220" s="19" t="s">
        <v>554</v>
      </c>
      <c r="F220" s="19">
        <v>80089265</v>
      </c>
      <c r="G220" s="19" t="s">
        <v>1329</v>
      </c>
      <c r="H220" s="19" t="s">
        <v>1330</v>
      </c>
      <c r="I220" s="19" t="s">
        <v>31</v>
      </c>
      <c r="J220" s="20">
        <v>1</v>
      </c>
      <c r="K220" s="21">
        <v>43621</v>
      </c>
      <c r="L220" s="21">
        <v>43623</v>
      </c>
      <c r="M220" s="21">
        <v>43720</v>
      </c>
      <c r="N220" s="24" t="s">
        <v>2448</v>
      </c>
      <c r="O220" s="19" t="s">
        <v>557</v>
      </c>
      <c r="P220" s="19" t="s">
        <v>665</v>
      </c>
      <c r="Q220" s="19" t="s">
        <v>577</v>
      </c>
      <c r="R220" s="19" t="s">
        <v>616</v>
      </c>
      <c r="S220" s="19" t="s">
        <v>1331</v>
      </c>
      <c r="T220" t="s">
        <v>62</v>
      </c>
      <c r="U220" s="22">
        <v>0</v>
      </c>
      <c r="V220" s="22">
        <v>0</v>
      </c>
      <c r="W220" s="22">
        <v>682.07</v>
      </c>
      <c r="X220" s="22">
        <v>0</v>
      </c>
      <c r="Y220" s="22">
        <v>111.1</v>
      </c>
      <c r="Z220" s="22">
        <v>0</v>
      </c>
      <c r="AA220" s="22">
        <v>0</v>
      </c>
      <c r="AB220" s="22">
        <v>-35.15</v>
      </c>
      <c r="AC220" s="22">
        <v>0</v>
      </c>
      <c r="AD220" s="22">
        <v>0</v>
      </c>
      <c r="AE220" s="22">
        <v>793.17</v>
      </c>
      <c r="AF220" s="22">
        <f t="shared" si="3"/>
        <v>758.02</v>
      </c>
      <c r="AG220" s="22">
        <v>0</v>
      </c>
      <c r="AH220" s="22">
        <v>758.02</v>
      </c>
      <c r="AI220" t="s">
        <v>562</v>
      </c>
      <c r="AJ220" t="s">
        <v>1306</v>
      </c>
    </row>
    <row r="221" spans="1:36" ht="29" outlineLevel="2" x14ac:dyDescent="0.35">
      <c r="A221" s="19" t="s">
        <v>551</v>
      </c>
      <c r="B221" s="19" t="s">
        <v>658</v>
      </c>
      <c r="C221" s="19" t="s">
        <v>643</v>
      </c>
      <c r="D221" s="19">
        <v>2018</v>
      </c>
      <c r="E221" s="19" t="s">
        <v>554</v>
      </c>
      <c r="F221" s="19">
        <v>80089294</v>
      </c>
      <c r="G221" s="19" t="s">
        <v>1332</v>
      </c>
      <c r="H221" s="19" t="s">
        <v>1333</v>
      </c>
      <c r="I221" s="19" t="s">
        <v>31</v>
      </c>
      <c r="J221" s="20">
        <v>1</v>
      </c>
      <c r="K221" s="21">
        <v>43621</v>
      </c>
      <c r="L221" s="21">
        <v>43648</v>
      </c>
      <c r="M221" s="21">
        <v>43811</v>
      </c>
      <c r="N221" s="24" t="s">
        <v>2448</v>
      </c>
      <c r="O221" s="19" t="s">
        <v>557</v>
      </c>
      <c r="P221" s="19" t="s">
        <v>568</v>
      </c>
      <c r="Q221" s="19" t="s">
        <v>735</v>
      </c>
      <c r="R221" s="19" t="s">
        <v>591</v>
      </c>
      <c r="S221" s="19" t="s">
        <v>1334</v>
      </c>
      <c r="T221" t="s">
        <v>62</v>
      </c>
      <c r="U221" s="22">
        <v>0</v>
      </c>
      <c r="V221" s="22">
        <v>0</v>
      </c>
      <c r="W221" s="22">
        <v>3278.38</v>
      </c>
      <c r="X221" s="22">
        <v>0</v>
      </c>
      <c r="Y221" s="22">
        <v>241.83</v>
      </c>
      <c r="Z221" s="22">
        <v>0</v>
      </c>
      <c r="AA221" s="22">
        <v>0</v>
      </c>
      <c r="AB221" s="22">
        <v>-37</v>
      </c>
      <c r="AC221" s="22">
        <v>0</v>
      </c>
      <c r="AD221" s="22">
        <v>0</v>
      </c>
      <c r="AE221" s="22">
        <v>3520.21</v>
      </c>
      <c r="AF221" s="22">
        <f t="shared" si="3"/>
        <v>3483.21</v>
      </c>
      <c r="AG221" s="22">
        <v>0</v>
      </c>
      <c r="AH221" s="22">
        <v>3483.21</v>
      </c>
      <c r="AI221" t="s">
        <v>562</v>
      </c>
      <c r="AJ221" t="s">
        <v>1306</v>
      </c>
    </row>
    <row r="222" spans="1:36" ht="43.5" outlineLevel="2" x14ac:dyDescent="0.35">
      <c r="A222" s="19" t="s">
        <v>551</v>
      </c>
      <c r="B222" s="19" t="s">
        <v>986</v>
      </c>
      <c r="C222" s="19" t="s">
        <v>553</v>
      </c>
      <c r="D222" s="19">
        <v>2018</v>
      </c>
      <c r="E222" s="19" t="s">
        <v>554</v>
      </c>
      <c r="F222" s="19">
        <v>80089227</v>
      </c>
      <c r="G222" s="19" t="s">
        <v>1335</v>
      </c>
      <c r="H222" s="19" t="s">
        <v>1336</v>
      </c>
      <c r="I222" s="19" t="s">
        <v>31</v>
      </c>
      <c r="J222" s="20">
        <v>1</v>
      </c>
      <c r="K222" s="21">
        <v>43620</v>
      </c>
      <c r="L222" s="21">
        <v>43623</v>
      </c>
      <c r="M222" s="21">
        <v>43993</v>
      </c>
      <c r="N222" s="24" t="s">
        <v>2448</v>
      </c>
      <c r="O222" s="19" t="s">
        <v>557</v>
      </c>
      <c r="P222" s="19" t="s">
        <v>568</v>
      </c>
      <c r="Q222" s="19" t="s">
        <v>569</v>
      </c>
      <c r="R222" s="19" t="s">
        <v>570</v>
      </c>
      <c r="S222" s="19" t="s">
        <v>1337</v>
      </c>
      <c r="T222" t="s">
        <v>169</v>
      </c>
      <c r="U222" s="22">
        <v>0</v>
      </c>
      <c r="V222" s="22">
        <v>0</v>
      </c>
      <c r="W222" s="22">
        <v>341.04</v>
      </c>
      <c r="X222" s="22">
        <v>0</v>
      </c>
      <c r="Y222" s="22">
        <v>30.44</v>
      </c>
      <c r="Z222" s="22">
        <v>0</v>
      </c>
      <c r="AA222" s="22">
        <v>0</v>
      </c>
      <c r="AB222" s="22">
        <v>0</v>
      </c>
      <c r="AC222" s="22">
        <v>0</v>
      </c>
      <c r="AD222" s="22">
        <v>0</v>
      </c>
      <c r="AE222" s="22">
        <v>371.48</v>
      </c>
      <c r="AF222" s="22">
        <f t="shared" si="3"/>
        <v>371.48</v>
      </c>
      <c r="AG222" s="22">
        <v>0</v>
      </c>
      <c r="AH222" s="22">
        <v>371.48</v>
      </c>
      <c r="AI222" t="s">
        <v>562</v>
      </c>
      <c r="AJ222" t="s">
        <v>1306</v>
      </c>
    </row>
    <row r="223" spans="1:36" ht="101.5" outlineLevel="2" x14ac:dyDescent="0.35">
      <c r="A223" s="19" t="s">
        <v>551</v>
      </c>
      <c r="B223" s="19" t="s">
        <v>986</v>
      </c>
      <c r="C223" s="19" t="s">
        <v>553</v>
      </c>
      <c r="D223" s="19">
        <v>2018</v>
      </c>
      <c r="E223" s="19" t="s">
        <v>554</v>
      </c>
      <c r="F223" s="19">
        <v>80089384</v>
      </c>
      <c r="G223" s="19" t="s">
        <v>1338</v>
      </c>
      <c r="H223" s="19" t="s">
        <v>1339</v>
      </c>
      <c r="I223" s="19" t="s">
        <v>31</v>
      </c>
      <c r="J223" s="20">
        <v>1</v>
      </c>
      <c r="K223" s="21">
        <v>43620</v>
      </c>
      <c r="L223" s="21">
        <v>43633</v>
      </c>
      <c r="M223" s="21">
        <v>43676</v>
      </c>
      <c r="N223" s="24" t="s">
        <v>2448</v>
      </c>
      <c r="O223" s="19" t="s">
        <v>557</v>
      </c>
      <c r="P223" s="19" t="s">
        <v>576</v>
      </c>
      <c r="Q223" s="19" t="s">
        <v>639</v>
      </c>
      <c r="R223" s="19" t="s">
        <v>640</v>
      </c>
      <c r="S223" s="19" t="s">
        <v>1340</v>
      </c>
      <c r="T223" t="s">
        <v>169</v>
      </c>
      <c r="U223" s="22">
        <v>0</v>
      </c>
      <c r="V223" s="22">
        <v>0</v>
      </c>
      <c r="W223" s="22">
        <v>143.62</v>
      </c>
      <c r="X223" s="22">
        <v>0</v>
      </c>
      <c r="Y223" s="22">
        <v>10.32</v>
      </c>
      <c r="Z223" s="22">
        <v>0</v>
      </c>
      <c r="AA223" s="22">
        <v>0</v>
      </c>
      <c r="AB223" s="22">
        <v>0</v>
      </c>
      <c r="AC223" s="22">
        <v>0</v>
      </c>
      <c r="AD223" s="22">
        <v>0</v>
      </c>
      <c r="AE223" s="22">
        <v>153.94</v>
      </c>
      <c r="AF223" s="22">
        <f t="shared" si="3"/>
        <v>153.94</v>
      </c>
      <c r="AG223" s="22">
        <v>0</v>
      </c>
      <c r="AH223" s="22">
        <v>153.94</v>
      </c>
      <c r="AI223" t="s">
        <v>562</v>
      </c>
      <c r="AJ223" t="s">
        <v>1306</v>
      </c>
    </row>
    <row r="224" spans="1:36" ht="43.5" outlineLevel="2" x14ac:dyDescent="0.35">
      <c r="A224" s="19" t="s">
        <v>551</v>
      </c>
      <c r="B224" s="19" t="s">
        <v>605</v>
      </c>
      <c r="C224" s="19" t="s">
        <v>606</v>
      </c>
      <c r="D224" s="19">
        <v>2018</v>
      </c>
      <c r="E224" s="19" t="s">
        <v>554</v>
      </c>
      <c r="F224" s="19">
        <v>80089197</v>
      </c>
      <c r="G224" s="19" t="s">
        <v>1341</v>
      </c>
      <c r="H224" s="19" t="s">
        <v>1342</v>
      </c>
      <c r="I224" s="19" t="s">
        <v>31</v>
      </c>
      <c r="J224" s="20">
        <v>1</v>
      </c>
      <c r="K224" s="21">
        <v>43619</v>
      </c>
      <c r="L224" s="21">
        <v>43634</v>
      </c>
      <c r="M224" s="21">
        <v>43747</v>
      </c>
      <c r="N224" s="24" t="s">
        <v>2448</v>
      </c>
      <c r="O224" s="19" t="s">
        <v>557</v>
      </c>
      <c r="P224" s="19" t="s">
        <v>609</v>
      </c>
      <c r="Q224" s="19" t="s">
        <v>577</v>
      </c>
      <c r="R224" s="19" t="s">
        <v>616</v>
      </c>
      <c r="S224" s="19" t="s">
        <v>1343</v>
      </c>
      <c r="T224" t="s">
        <v>69</v>
      </c>
      <c r="U224" s="22">
        <v>0</v>
      </c>
      <c r="V224" s="22">
        <v>0</v>
      </c>
      <c r="W224" s="22">
        <v>229.97</v>
      </c>
      <c r="X224" s="22">
        <v>0</v>
      </c>
      <c r="Y224" s="22">
        <v>37.35</v>
      </c>
      <c r="Z224" s="22">
        <v>0</v>
      </c>
      <c r="AA224" s="22">
        <v>0</v>
      </c>
      <c r="AB224" s="22">
        <v>0</v>
      </c>
      <c r="AC224" s="22">
        <v>0</v>
      </c>
      <c r="AD224" s="22">
        <v>0</v>
      </c>
      <c r="AE224" s="22">
        <v>267.32</v>
      </c>
      <c r="AF224" s="22">
        <f t="shared" si="3"/>
        <v>267.32</v>
      </c>
      <c r="AG224" s="22">
        <v>0</v>
      </c>
      <c r="AH224" s="22">
        <v>267.32</v>
      </c>
      <c r="AI224" t="s">
        <v>562</v>
      </c>
      <c r="AJ224" t="s">
        <v>1306</v>
      </c>
    </row>
    <row r="225" spans="1:36" ht="29" outlineLevel="2" x14ac:dyDescent="0.35">
      <c r="A225" s="19" t="s">
        <v>551</v>
      </c>
      <c r="B225" s="19" t="s">
        <v>1001</v>
      </c>
      <c r="C225" s="19" t="s">
        <v>1002</v>
      </c>
      <c r="D225" s="19">
        <v>2018</v>
      </c>
      <c r="E225" s="19" t="s">
        <v>554</v>
      </c>
      <c r="F225" s="19">
        <v>80090341</v>
      </c>
      <c r="G225" s="19" t="s">
        <v>1344</v>
      </c>
      <c r="H225" s="19" t="s">
        <v>1345</v>
      </c>
      <c r="I225" s="19" t="s">
        <v>31</v>
      </c>
      <c r="J225" s="20">
        <v>1</v>
      </c>
      <c r="K225" s="21">
        <v>43617</v>
      </c>
      <c r="L225" s="21">
        <v>43726</v>
      </c>
      <c r="M225" s="21">
        <v>43804</v>
      </c>
      <c r="N225" s="24" t="s">
        <v>2448</v>
      </c>
      <c r="O225" s="19" t="s">
        <v>557</v>
      </c>
      <c r="P225" s="19" t="s">
        <v>568</v>
      </c>
      <c r="Q225" s="19" t="s">
        <v>569</v>
      </c>
      <c r="R225" s="19" t="s">
        <v>591</v>
      </c>
      <c r="S225" s="19" t="s">
        <v>1346</v>
      </c>
      <c r="T225" t="s">
        <v>51</v>
      </c>
      <c r="U225" s="22">
        <v>0</v>
      </c>
      <c r="V225" s="22">
        <v>0</v>
      </c>
      <c r="W225" s="22">
        <v>847.26</v>
      </c>
      <c r="X225" s="22">
        <v>0</v>
      </c>
      <c r="Y225" s="22">
        <v>88.48</v>
      </c>
      <c r="Z225" s="22">
        <v>0</v>
      </c>
      <c r="AA225" s="22">
        <v>0</v>
      </c>
      <c r="AB225" s="22">
        <v>0</v>
      </c>
      <c r="AC225" s="22">
        <v>0</v>
      </c>
      <c r="AD225" s="22">
        <v>0</v>
      </c>
      <c r="AE225" s="22">
        <v>935.74</v>
      </c>
      <c r="AF225" s="22">
        <f t="shared" si="3"/>
        <v>935.74</v>
      </c>
      <c r="AG225" s="22">
        <v>0</v>
      </c>
      <c r="AH225" s="22">
        <v>935.74</v>
      </c>
      <c r="AI225" t="s">
        <v>562</v>
      </c>
      <c r="AJ225" t="s">
        <v>1306</v>
      </c>
    </row>
    <row r="226" spans="1:36" ht="58" outlineLevel="2" x14ac:dyDescent="0.35">
      <c r="A226" s="19" t="s">
        <v>551</v>
      </c>
      <c r="B226" s="19" t="s">
        <v>945</v>
      </c>
      <c r="C226" s="19" t="s">
        <v>946</v>
      </c>
      <c r="D226" s="19">
        <v>2018</v>
      </c>
      <c r="E226" s="19" t="s">
        <v>554</v>
      </c>
      <c r="F226" s="19">
        <v>80091519</v>
      </c>
      <c r="G226" s="19" t="s">
        <v>1347</v>
      </c>
      <c r="H226" s="19" t="s">
        <v>1348</v>
      </c>
      <c r="I226" s="19" t="s">
        <v>31</v>
      </c>
      <c r="J226" s="20">
        <v>1</v>
      </c>
      <c r="K226" s="21">
        <v>43617</v>
      </c>
      <c r="L226" s="21">
        <v>43617</v>
      </c>
      <c r="M226" s="21">
        <v>45037</v>
      </c>
      <c r="N226" s="24" t="s">
        <v>2448</v>
      </c>
      <c r="O226" s="19" t="s">
        <v>557</v>
      </c>
      <c r="P226" s="19" t="s">
        <v>558</v>
      </c>
      <c r="Q226" s="19" t="s">
        <v>666</v>
      </c>
      <c r="R226" s="19" t="s">
        <v>689</v>
      </c>
      <c r="S226" s="19" t="s">
        <v>1349</v>
      </c>
      <c r="T226" t="s">
        <v>51</v>
      </c>
      <c r="U226" s="22">
        <v>26400</v>
      </c>
      <c r="V226" s="22">
        <v>0</v>
      </c>
      <c r="W226" s="22">
        <v>10000</v>
      </c>
      <c r="X226" s="22">
        <v>0</v>
      </c>
      <c r="Y226" s="22">
        <v>483.5</v>
      </c>
      <c r="Z226" s="22">
        <v>0</v>
      </c>
      <c r="AA226" s="22">
        <v>0</v>
      </c>
      <c r="AB226" s="22">
        <v>0</v>
      </c>
      <c r="AC226" s="22">
        <v>0</v>
      </c>
      <c r="AD226" s="22">
        <v>0</v>
      </c>
      <c r="AE226" s="22">
        <v>36883.5</v>
      </c>
      <c r="AF226" s="22">
        <f t="shared" si="3"/>
        <v>36883.5</v>
      </c>
      <c r="AG226" s="22">
        <v>0</v>
      </c>
      <c r="AH226" s="22">
        <v>36883.5</v>
      </c>
      <c r="AI226" t="s">
        <v>562</v>
      </c>
      <c r="AJ226" t="s">
        <v>1306</v>
      </c>
    </row>
    <row r="227" spans="1:36" ht="72.5" outlineLevel="2" x14ac:dyDescent="0.35">
      <c r="A227" s="19" t="s">
        <v>551</v>
      </c>
      <c r="B227" s="19" t="s">
        <v>1350</v>
      </c>
      <c r="C227" s="19" t="s">
        <v>673</v>
      </c>
      <c r="D227" s="19">
        <v>2018</v>
      </c>
      <c r="E227" s="19" t="s">
        <v>554</v>
      </c>
      <c r="F227" s="19">
        <v>80089195</v>
      </c>
      <c r="G227" s="19" t="s">
        <v>1351</v>
      </c>
      <c r="H227" s="19" t="s">
        <v>1352</v>
      </c>
      <c r="I227" s="19" t="s">
        <v>31</v>
      </c>
      <c r="J227" s="20">
        <v>1</v>
      </c>
      <c r="K227" s="21">
        <v>43616</v>
      </c>
      <c r="L227" s="21">
        <v>43626</v>
      </c>
      <c r="M227" s="21">
        <v>43670</v>
      </c>
      <c r="N227" s="24" t="s">
        <v>2448</v>
      </c>
      <c r="O227" s="19" t="s">
        <v>557</v>
      </c>
      <c r="P227" s="19" t="s">
        <v>609</v>
      </c>
      <c r="Q227" s="19" t="s">
        <v>577</v>
      </c>
      <c r="R227" s="19" t="s">
        <v>616</v>
      </c>
      <c r="S227" s="19" t="s">
        <v>1353</v>
      </c>
      <c r="T227" t="s">
        <v>51</v>
      </c>
      <c r="U227" s="22">
        <v>0</v>
      </c>
      <c r="V227" s="22">
        <v>0</v>
      </c>
      <c r="W227" s="22">
        <v>416.01</v>
      </c>
      <c r="X227" s="22">
        <v>0</v>
      </c>
      <c r="Y227" s="22">
        <v>70.38</v>
      </c>
      <c r="Z227" s="22">
        <v>0</v>
      </c>
      <c r="AA227" s="22">
        <v>0</v>
      </c>
      <c r="AB227" s="22">
        <v>0</v>
      </c>
      <c r="AC227" s="22">
        <v>0</v>
      </c>
      <c r="AD227" s="22">
        <v>0</v>
      </c>
      <c r="AE227" s="22">
        <v>486.39</v>
      </c>
      <c r="AF227" s="22">
        <f t="shared" si="3"/>
        <v>486.39</v>
      </c>
      <c r="AG227" s="22">
        <v>0</v>
      </c>
      <c r="AH227" s="22">
        <v>486.39</v>
      </c>
      <c r="AI227" t="s">
        <v>562</v>
      </c>
      <c r="AJ227" t="s">
        <v>1306</v>
      </c>
    </row>
    <row r="228" spans="1:36" ht="43.5" outlineLevel="2" x14ac:dyDescent="0.35">
      <c r="A228" s="19" t="s">
        <v>551</v>
      </c>
      <c r="B228" s="19" t="s">
        <v>1083</v>
      </c>
      <c r="C228" s="19" t="s">
        <v>741</v>
      </c>
      <c r="D228" s="19">
        <v>2018</v>
      </c>
      <c r="E228" s="19" t="s">
        <v>554</v>
      </c>
      <c r="F228" s="19">
        <v>80089203</v>
      </c>
      <c r="G228" s="19" t="s">
        <v>1354</v>
      </c>
      <c r="H228" s="19" t="s">
        <v>1355</v>
      </c>
      <c r="I228" s="19" t="s">
        <v>31</v>
      </c>
      <c r="J228" s="20">
        <v>1</v>
      </c>
      <c r="K228" s="21">
        <v>43616</v>
      </c>
      <c r="L228" s="21">
        <v>43634</v>
      </c>
      <c r="M228" s="21">
        <v>43973</v>
      </c>
      <c r="N228" s="24" t="s">
        <v>2448</v>
      </c>
      <c r="O228" s="19" t="s">
        <v>557</v>
      </c>
      <c r="P228" s="19" t="s">
        <v>665</v>
      </c>
      <c r="Q228" s="19" t="s">
        <v>597</v>
      </c>
      <c r="R228" s="19" t="s">
        <v>570</v>
      </c>
      <c r="S228" s="19" t="s">
        <v>1356</v>
      </c>
      <c r="T228" t="s">
        <v>45</v>
      </c>
      <c r="U228" s="22">
        <v>0</v>
      </c>
      <c r="V228" s="22">
        <v>0</v>
      </c>
      <c r="W228" s="22">
        <v>8953.57</v>
      </c>
      <c r="X228" s="22">
        <v>0</v>
      </c>
      <c r="Y228" s="22">
        <v>885.68</v>
      </c>
      <c r="Z228" s="22">
        <v>0</v>
      </c>
      <c r="AA228" s="22">
        <v>0</v>
      </c>
      <c r="AB228" s="22">
        <v>0</v>
      </c>
      <c r="AC228" s="22">
        <v>0</v>
      </c>
      <c r="AD228" s="22">
        <v>0</v>
      </c>
      <c r="AE228" s="22">
        <v>9839.25</v>
      </c>
      <c r="AF228" s="22">
        <f t="shared" si="3"/>
        <v>9839.25</v>
      </c>
      <c r="AG228" s="22">
        <v>0</v>
      </c>
      <c r="AH228" s="22">
        <v>9839.25</v>
      </c>
      <c r="AI228" t="s">
        <v>562</v>
      </c>
      <c r="AJ228" t="s">
        <v>1306</v>
      </c>
    </row>
    <row r="229" spans="1:36" ht="58" outlineLevel="2" x14ac:dyDescent="0.35">
      <c r="A229" s="19" t="s">
        <v>551</v>
      </c>
      <c r="B229" s="19" t="s">
        <v>605</v>
      </c>
      <c r="C229" s="19" t="s">
        <v>606</v>
      </c>
      <c r="D229" s="19">
        <v>2018</v>
      </c>
      <c r="E229" s="19" t="s">
        <v>554</v>
      </c>
      <c r="F229" s="19">
        <v>80089233</v>
      </c>
      <c r="G229" s="19" t="s">
        <v>1357</v>
      </c>
      <c r="H229" s="19" t="s">
        <v>1358</v>
      </c>
      <c r="I229" s="19" t="s">
        <v>31</v>
      </c>
      <c r="J229" s="20">
        <v>1</v>
      </c>
      <c r="K229" s="21">
        <v>43616</v>
      </c>
      <c r="L229" s="21">
        <v>43623</v>
      </c>
      <c r="M229" s="21">
        <v>44042</v>
      </c>
      <c r="N229" s="24" t="s">
        <v>2448</v>
      </c>
      <c r="O229" s="19" t="s">
        <v>557</v>
      </c>
      <c r="P229" s="19" t="s">
        <v>665</v>
      </c>
      <c r="Q229" s="19" t="s">
        <v>1359</v>
      </c>
      <c r="R229" s="19" t="s">
        <v>570</v>
      </c>
      <c r="S229" s="19" t="s">
        <v>1360</v>
      </c>
      <c r="T229" t="s">
        <v>69</v>
      </c>
      <c r="U229" s="22">
        <v>0</v>
      </c>
      <c r="V229" s="22">
        <v>0</v>
      </c>
      <c r="W229" s="22">
        <v>2752.34</v>
      </c>
      <c r="X229" s="22">
        <v>0</v>
      </c>
      <c r="Y229" s="22">
        <v>410.47</v>
      </c>
      <c r="Z229" s="22">
        <v>0</v>
      </c>
      <c r="AA229" s="22">
        <v>0</v>
      </c>
      <c r="AB229" s="22">
        <v>-70.069999999999993</v>
      </c>
      <c r="AC229" s="22">
        <v>0</v>
      </c>
      <c r="AD229" s="22">
        <v>0</v>
      </c>
      <c r="AE229" s="22">
        <v>3162.81</v>
      </c>
      <c r="AF229" s="22">
        <f t="shared" si="3"/>
        <v>3092.74</v>
      </c>
      <c r="AG229" s="22">
        <v>0</v>
      </c>
      <c r="AH229" s="22">
        <v>3092.74</v>
      </c>
      <c r="AI229" t="s">
        <v>562</v>
      </c>
      <c r="AJ229" t="s">
        <v>1306</v>
      </c>
    </row>
    <row r="230" spans="1:36" ht="43.5" outlineLevel="2" x14ac:dyDescent="0.35">
      <c r="A230" s="19" t="s">
        <v>551</v>
      </c>
      <c r="B230" s="19" t="s">
        <v>658</v>
      </c>
      <c r="C230" s="19" t="s">
        <v>643</v>
      </c>
      <c r="D230" s="19">
        <v>2018</v>
      </c>
      <c r="E230" s="19" t="s">
        <v>554</v>
      </c>
      <c r="F230" s="19">
        <v>80082927</v>
      </c>
      <c r="G230" s="19" t="s">
        <v>1361</v>
      </c>
      <c r="H230" s="19" t="s">
        <v>1362</v>
      </c>
      <c r="I230" s="19" t="s">
        <v>31</v>
      </c>
      <c r="J230" s="20">
        <v>1</v>
      </c>
      <c r="K230" s="21">
        <v>43609</v>
      </c>
      <c r="L230" s="21">
        <v>43611</v>
      </c>
      <c r="M230" s="21">
        <v>45488</v>
      </c>
      <c r="N230" s="24" t="s">
        <v>2448</v>
      </c>
      <c r="O230" s="19" t="s">
        <v>557</v>
      </c>
      <c r="P230" s="19" t="s">
        <v>665</v>
      </c>
      <c r="Q230" s="19" t="s">
        <v>1363</v>
      </c>
      <c r="R230" s="19" t="s">
        <v>591</v>
      </c>
      <c r="S230" s="19" t="s">
        <v>1364</v>
      </c>
      <c r="T230" t="s">
        <v>62</v>
      </c>
      <c r="U230" s="22">
        <v>27636.5</v>
      </c>
      <c r="V230" s="22">
        <v>0</v>
      </c>
      <c r="W230" s="22">
        <v>833.71</v>
      </c>
      <c r="X230" s="22">
        <v>0</v>
      </c>
      <c r="Y230" s="22">
        <v>26129.96</v>
      </c>
      <c r="Z230" s="22">
        <v>0</v>
      </c>
      <c r="AA230" s="22">
        <v>0</v>
      </c>
      <c r="AB230" s="22">
        <v>0</v>
      </c>
      <c r="AC230" s="22">
        <v>0</v>
      </c>
      <c r="AD230" s="22">
        <v>-227.5</v>
      </c>
      <c r="AE230" s="22">
        <v>54600.17</v>
      </c>
      <c r="AF230" s="22">
        <f t="shared" si="3"/>
        <v>54600.17</v>
      </c>
      <c r="AG230" s="22">
        <v>0</v>
      </c>
      <c r="AH230" s="22">
        <v>54600.17</v>
      </c>
      <c r="AI230" t="s">
        <v>562</v>
      </c>
      <c r="AJ230" t="s">
        <v>1306</v>
      </c>
    </row>
    <row r="231" spans="1:36" ht="116" outlineLevel="2" x14ac:dyDescent="0.35">
      <c r="A231" s="19" t="s">
        <v>551</v>
      </c>
      <c r="B231" s="19" t="s">
        <v>572</v>
      </c>
      <c r="C231" s="19" t="s">
        <v>573</v>
      </c>
      <c r="D231" s="19">
        <v>2018</v>
      </c>
      <c r="E231" s="19" t="s">
        <v>554</v>
      </c>
      <c r="F231" s="19">
        <v>80090336</v>
      </c>
      <c r="G231" s="19" t="s">
        <v>1365</v>
      </c>
      <c r="H231" s="19" t="s">
        <v>1366</v>
      </c>
      <c r="I231" s="19" t="s">
        <v>31</v>
      </c>
      <c r="J231" s="20">
        <v>1</v>
      </c>
      <c r="K231" s="21">
        <v>43607</v>
      </c>
      <c r="L231" s="21">
        <v>43719</v>
      </c>
      <c r="M231" s="21">
        <v>43917</v>
      </c>
      <c r="N231" s="24" t="s">
        <v>2448</v>
      </c>
      <c r="O231" s="19" t="s">
        <v>557</v>
      </c>
      <c r="P231" s="19" t="s">
        <v>609</v>
      </c>
      <c r="Q231" s="19" t="s">
        <v>634</v>
      </c>
      <c r="R231" s="19" t="s">
        <v>578</v>
      </c>
      <c r="S231" s="19" t="s">
        <v>1367</v>
      </c>
      <c r="T231" t="s">
        <v>139</v>
      </c>
      <c r="U231" s="22">
        <v>0</v>
      </c>
      <c r="V231" s="22">
        <v>0</v>
      </c>
      <c r="W231" s="22">
        <v>210.74</v>
      </c>
      <c r="X231" s="22">
        <v>0</v>
      </c>
      <c r="Y231" s="22">
        <v>83.17</v>
      </c>
      <c r="Z231" s="22">
        <v>0</v>
      </c>
      <c r="AA231" s="22">
        <v>0</v>
      </c>
      <c r="AB231" s="22">
        <v>0</v>
      </c>
      <c r="AC231" s="22">
        <v>0</v>
      </c>
      <c r="AD231" s="22">
        <v>0</v>
      </c>
      <c r="AE231" s="22">
        <v>293.91000000000003</v>
      </c>
      <c r="AF231" s="22">
        <f t="shared" si="3"/>
        <v>293.91000000000003</v>
      </c>
      <c r="AG231" s="22">
        <v>0</v>
      </c>
      <c r="AH231" s="22">
        <v>293.91000000000003</v>
      </c>
      <c r="AI231" t="s">
        <v>562</v>
      </c>
      <c r="AJ231" t="s">
        <v>1306</v>
      </c>
    </row>
    <row r="232" spans="1:36" ht="58" outlineLevel="2" x14ac:dyDescent="0.35">
      <c r="A232" s="19" t="s">
        <v>551</v>
      </c>
      <c r="B232" s="19" t="s">
        <v>680</v>
      </c>
      <c r="C232" s="19" t="s">
        <v>553</v>
      </c>
      <c r="D232" s="19">
        <v>2018</v>
      </c>
      <c r="E232" s="19" t="s">
        <v>554</v>
      </c>
      <c r="F232" s="19">
        <v>80089196</v>
      </c>
      <c r="G232" s="19" t="s">
        <v>1368</v>
      </c>
      <c r="H232" s="19" t="s">
        <v>1369</v>
      </c>
      <c r="I232" s="19" t="s">
        <v>31</v>
      </c>
      <c r="J232" s="20">
        <v>1</v>
      </c>
      <c r="K232" s="21">
        <v>43606</v>
      </c>
      <c r="L232" s="21">
        <v>43634</v>
      </c>
      <c r="M232" s="21">
        <v>43683</v>
      </c>
      <c r="N232" s="24" t="s">
        <v>2448</v>
      </c>
      <c r="O232" s="19" t="s">
        <v>557</v>
      </c>
      <c r="P232" s="19" t="s">
        <v>665</v>
      </c>
      <c r="Q232" s="19" t="s">
        <v>597</v>
      </c>
      <c r="R232" s="19" t="s">
        <v>570</v>
      </c>
      <c r="S232" s="19" t="s">
        <v>1370</v>
      </c>
      <c r="T232" t="s">
        <v>45</v>
      </c>
      <c r="U232" s="22">
        <v>0</v>
      </c>
      <c r="V232" s="22">
        <v>0</v>
      </c>
      <c r="W232" s="22">
        <v>0</v>
      </c>
      <c r="X232" s="22">
        <v>0</v>
      </c>
      <c r="Y232" s="22">
        <v>0</v>
      </c>
      <c r="Z232" s="22">
        <v>0</v>
      </c>
      <c r="AA232" s="22">
        <v>0</v>
      </c>
      <c r="AB232" s="22">
        <v>0</v>
      </c>
      <c r="AC232" s="22">
        <v>0</v>
      </c>
      <c r="AD232" s="22">
        <v>0</v>
      </c>
      <c r="AE232" s="22">
        <v>0</v>
      </c>
      <c r="AF232" s="22">
        <f t="shared" si="3"/>
        <v>0</v>
      </c>
      <c r="AG232" s="22">
        <v>0</v>
      </c>
      <c r="AH232" s="22">
        <v>0</v>
      </c>
      <c r="AI232" t="s">
        <v>562</v>
      </c>
      <c r="AJ232" t="s">
        <v>1306</v>
      </c>
    </row>
    <row r="233" spans="1:36" ht="58" outlineLevel="2" x14ac:dyDescent="0.35">
      <c r="A233" s="19" t="s">
        <v>551</v>
      </c>
      <c r="B233" s="19" t="s">
        <v>552</v>
      </c>
      <c r="C233" s="19" t="s">
        <v>553</v>
      </c>
      <c r="D233" s="19">
        <v>2018</v>
      </c>
      <c r="E233" s="19" t="s">
        <v>554</v>
      </c>
      <c r="F233" s="19">
        <v>80089258</v>
      </c>
      <c r="G233" s="19" t="s">
        <v>1371</v>
      </c>
      <c r="H233" s="19" t="s">
        <v>1372</v>
      </c>
      <c r="I233" s="19" t="s">
        <v>31</v>
      </c>
      <c r="J233" s="20">
        <v>1</v>
      </c>
      <c r="K233" s="21">
        <v>43605</v>
      </c>
      <c r="L233" s="21">
        <v>43636</v>
      </c>
      <c r="M233" s="21">
        <v>43725</v>
      </c>
      <c r="N233" s="24" t="s">
        <v>2448</v>
      </c>
      <c r="O233" s="19" t="s">
        <v>557</v>
      </c>
      <c r="P233" s="19" t="s">
        <v>568</v>
      </c>
      <c r="Q233" s="19" t="s">
        <v>559</v>
      </c>
      <c r="R233" s="19" t="s">
        <v>1373</v>
      </c>
      <c r="S233" s="19" t="s">
        <v>1374</v>
      </c>
      <c r="T233" t="s">
        <v>85</v>
      </c>
      <c r="U233" s="22">
        <v>0</v>
      </c>
      <c r="V233" s="22">
        <v>0</v>
      </c>
      <c r="W233" s="22">
        <v>374.6</v>
      </c>
      <c r="X233" s="22">
        <v>0</v>
      </c>
      <c r="Y233" s="22">
        <v>54.62</v>
      </c>
      <c r="Z233" s="22">
        <v>0</v>
      </c>
      <c r="AA233" s="22">
        <v>0</v>
      </c>
      <c r="AB233" s="22">
        <v>0</v>
      </c>
      <c r="AC233" s="22">
        <v>0</v>
      </c>
      <c r="AD233" s="22">
        <v>0</v>
      </c>
      <c r="AE233" s="22">
        <v>429.22</v>
      </c>
      <c r="AF233" s="22">
        <f t="shared" si="3"/>
        <v>429.22</v>
      </c>
      <c r="AG233" s="22">
        <v>0</v>
      </c>
      <c r="AH233" s="22">
        <v>429.22</v>
      </c>
      <c r="AI233" t="s">
        <v>562</v>
      </c>
      <c r="AJ233" t="s">
        <v>1306</v>
      </c>
    </row>
    <row r="234" spans="1:36" ht="72.5" outlineLevel="2" x14ac:dyDescent="0.35">
      <c r="A234" s="19" t="s">
        <v>551</v>
      </c>
      <c r="B234" s="19" t="s">
        <v>636</v>
      </c>
      <c r="C234" s="19" t="s">
        <v>594</v>
      </c>
      <c r="D234" s="19">
        <v>2018</v>
      </c>
      <c r="E234" s="19" t="s">
        <v>554</v>
      </c>
      <c r="F234" s="19">
        <v>80089201</v>
      </c>
      <c r="G234" s="19" t="s">
        <v>1375</v>
      </c>
      <c r="H234" s="19" t="s">
        <v>1376</v>
      </c>
      <c r="I234" s="19" t="s">
        <v>31</v>
      </c>
      <c r="J234" s="20">
        <v>1</v>
      </c>
      <c r="K234" s="21">
        <v>43600</v>
      </c>
      <c r="L234" s="21">
        <v>43602</v>
      </c>
      <c r="M234" s="21">
        <v>43922</v>
      </c>
      <c r="N234" s="24" t="s">
        <v>2448</v>
      </c>
      <c r="O234" s="19" t="s">
        <v>557</v>
      </c>
      <c r="P234" s="19" t="s">
        <v>576</v>
      </c>
      <c r="Q234" s="19" t="s">
        <v>634</v>
      </c>
      <c r="R234" s="19" t="s">
        <v>715</v>
      </c>
      <c r="S234" s="19" t="s">
        <v>1377</v>
      </c>
      <c r="T234" t="s">
        <v>33</v>
      </c>
      <c r="U234" s="22">
        <v>318.73</v>
      </c>
      <c r="V234" s="22">
        <v>0</v>
      </c>
      <c r="W234" s="22">
        <v>83.95</v>
      </c>
      <c r="X234" s="22">
        <v>0</v>
      </c>
      <c r="Y234" s="22">
        <v>13.65</v>
      </c>
      <c r="Z234" s="22">
        <v>0</v>
      </c>
      <c r="AA234" s="22">
        <v>0</v>
      </c>
      <c r="AB234" s="22">
        <v>0</v>
      </c>
      <c r="AC234" s="22">
        <v>0</v>
      </c>
      <c r="AD234" s="22">
        <v>0</v>
      </c>
      <c r="AE234" s="22">
        <v>416.33</v>
      </c>
      <c r="AF234" s="22">
        <f t="shared" si="3"/>
        <v>416.33</v>
      </c>
      <c r="AG234" s="22">
        <v>0</v>
      </c>
      <c r="AH234" s="22">
        <v>416.33</v>
      </c>
      <c r="AI234" t="s">
        <v>562</v>
      </c>
      <c r="AJ234" t="s">
        <v>1306</v>
      </c>
    </row>
    <row r="235" spans="1:36" ht="58" outlineLevel="2" x14ac:dyDescent="0.35">
      <c r="A235" s="19" t="s">
        <v>551</v>
      </c>
      <c r="B235" s="19" t="s">
        <v>636</v>
      </c>
      <c r="C235" s="19" t="s">
        <v>594</v>
      </c>
      <c r="D235" s="19">
        <v>2018</v>
      </c>
      <c r="E235" s="19" t="s">
        <v>554</v>
      </c>
      <c r="F235" s="19">
        <v>80089192</v>
      </c>
      <c r="G235" s="19" t="s">
        <v>1378</v>
      </c>
      <c r="H235" s="19" t="s">
        <v>1379</v>
      </c>
      <c r="I235" s="19" t="s">
        <v>31</v>
      </c>
      <c r="J235" s="20">
        <v>1</v>
      </c>
      <c r="K235" s="21">
        <v>43599</v>
      </c>
      <c r="L235" s="21">
        <v>43614</v>
      </c>
      <c r="M235" s="21">
        <v>43677</v>
      </c>
      <c r="N235" s="24" t="s">
        <v>2448</v>
      </c>
      <c r="O235" s="19" t="s">
        <v>557</v>
      </c>
      <c r="P235" s="19" t="s">
        <v>665</v>
      </c>
      <c r="Q235" s="19" t="s">
        <v>590</v>
      </c>
      <c r="R235" s="19" t="s">
        <v>570</v>
      </c>
      <c r="S235" s="19" t="s">
        <v>1380</v>
      </c>
      <c r="T235" t="s">
        <v>33</v>
      </c>
      <c r="U235" s="22">
        <v>0</v>
      </c>
      <c r="V235" s="22">
        <v>0</v>
      </c>
      <c r="W235" s="22">
        <v>176.45</v>
      </c>
      <c r="X235" s="22">
        <v>0</v>
      </c>
      <c r="Y235" s="22">
        <v>9.5</v>
      </c>
      <c r="Z235" s="22">
        <v>0</v>
      </c>
      <c r="AA235" s="22">
        <v>0</v>
      </c>
      <c r="AB235" s="22">
        <v>0</v>
      </c>
      <c r="AC235" s="22">
        <v>0</v>
      </c>
      <c r="AD235" s="22">
        <v>0</v>
      </c>
      <c r="AE235" s="22">
        <v>185.95</v>
      </c>
      <c r="AF235" s="22">
        <f t="shared" si="3"/>
        <v>185.95</v>
      </c>
      <c r="AG235" s="22">
        <v>0</v>
      </c>
      <c r="AH235" s="22">
        <v>185.95</v>
      </c>
      <c r="AI235" t="s">
        <v>562</v>
      </c>
      <c r="AJ235" t="s">
        <v>1306</v>
      </c>
    </row>
    <row r="236" spans="1:36" ht="87" outlineLevel="2" x14ac:dyDescent="0.35">
      <c r="A236" s="19" t="s">
        <v>551</v>
      </c>
      <c r="B236" s="19" t="s">
        <v>636</v>
      </c>
      <c r="C236" s="19" t="s">
        <v>594</v>
      </c>
      <c r="D236" s="19">
        <v>2018</v>
      </c>
      <c r="E236" s="19" t="s">
        <v>554</v>
      </c>
      <c r="F236" s="19">
        <v>80089194</v>
      </c>
      <c r="G236" s="19" t="s">
        <v>1381</v>
      </c>
      <c r="H236" s="19" t="s">
        <v>1382</v>
      </c>
      <c r="I236" s="19" t="s">
        <v>31</v>
      </c>
      <c r="J236" s="20">
        <v>1</v>
      </c>
      <c r="K236" s="21">
        <v>43598</v>
      </c>
      <c r="L236" s="21">
        <v>43599</v>
      </c>
      <c r="M236" s="21">
        <v>43640</v>
      </c>
      <c r="N236" s="24" t="s">
        <v>2448</v>
      </c>
      <c r="O236" s="19" t="s">
        <v>557</v>
      </c>
      <c r="P236" s="19" t="s">
        <v>576</v>
      </c>
      <c r="Q236" s="19" t="s">
        <v>639</v>
      </c>
      <c r="R236" s="19" t="s">
        <v>1373</v>
      </c>
      <c r="S236" s="19" t="s">
        <v>1383</v>
      </c>
      <c r="T236" t="s">
        <v>33</v>
      </c>
      <c r="U236" s="22">
        <v>0</v>
      </c>
      <c r="V236" s="22">
        <v>0</v>
      </c>
      <c r="W236" s="22">
        <v>103.99</v>
      </c>
      <c r="X236" s="22">
        <v>0</v>
      </c>
      <c r="Y236" s="22">
        <v>50.53</v>
      </c>
      <c r="Z236" s="22">
        <v>0</v>
      </c>
      <c r="AA236" s="22">
        <v>0</v>
      </c>
      <c r="AB236" s="22">
        <v>0</v>
      </c>
      <c r="AC236" s="22">
        <v>0</v>
      </c>
      <c r="AD236" s="22">
        <v>0</v>
      </c>
      <c r="AE236" s="22">
        <v>154.52000000000001</v>
      </c>
      <c r="AF236" s="22">
        <f t="shared" si="3"/>
        <v>154.52000000000001</v>
      </c>
      <c r="AG236" s="22">
        <v>0</v>
      </c>
      <c r="AH236" s="22">
        <v>154.52000000000001</v>
      </c>
      <c r="AI236" t="s">
        <v>562</v>
      </c>
      <c r="AJ236" t="s">
        <v>1306</v>
      </c>
    </row>
    <row r="237" spans="1:36" ht="43.5" outlineLevel="2" x14ac:dyDescent="0.35">
      <c r="A237" s="19" t="s">
        <v>551</v>
      </c>
      <c r="B237" s="19" t="s">
        <v>1384</v>
      </c>
      <c r="C237" s="19" t="s">
        <v>1385</v>
      </c>
      <c r="D237" s="19">
        <v>2018</v>
      </c>
      <c r="E237" s="19" t="s">
        <v>554</v>
      </c>
      <c r="F237" s="19">
        <v>80089215</v>
      </c>
      <c r="G237" s="19" t="s">
        <v>1386</v>
      </c>
      <c r="H237" s="19" t="s">
        <v>1387</v>
      </c>
      <c r="I237" s="19" t="s">
        <v>31</v>
      </c>
      <c r="J237" s="20">
        <v>1</v>
      </c>
      <c r="K237" s="21">
        <v>43598</v>
      </c>
      <c r="L237" s="21">
        <v>43609</v>
      </c>
      <c r="M237" s="21">
        <v>43671</v>
      </c>
      <c r="N237" s="24" t="s">
        <v>2448</v>
      </c>
      <c r="O237" s="19" t="s">
        <v>557</v>
      </c>
      <c r="P237" s="19" t="s">
        <v>558</v>
      </c>
      <c r="Q237" s="19" t="s">
        <v>590</v>
      </c>
      <c r="R237" s="19" t="s">
        <v>570</v>
      </c>
      <c r="S237" s="19" t="s">
        <v>1388</v>
      </c>
      <c r="T237" t="s">
        <v>1389</v>
      </c>
      <c r="U237" s="22">
        <v>0</v>
      </c>
      <c r="V237" s="22">
        <v>0</v>
      </c>
      <c r="W237" s="22">
        <v>2070.6999999999998</v>
      </c>
      <c r="X237" s="22">
        <v>0</v>
      </c>
      <c r="Y237" s="22">
        <v>153.54</v>
      </c>
      <c r="Z237" s="22">
        <v>0</v>
      </c>
      <c r="AA237" s="22">
        <v>0</v>
      </c>
      <c r="AB237" s="22">
        <v>0</v>
      </c>
      <c r="AC237" s="22">
        <v>0</v>
      </c>
      <c r="AD237" s="22">
        <v>0</v>
      </c>
      <c r="AE237" s="22">
        <v>2224.2399999999998</v>
      </c>
      <c r="AF237" s="22">
        <f t="shared" si="3"/>
        <v>2224.2399999999998</v>
      </c>
      <c r="AG237" s="22">
        <v>0</v>
      </c>
      <c r="AH237" s="22">
        <v>2224.2399999999998</v>
      </c>
      <c r="AI237" t="s">
        <v>562</v>
      </c>
      <c r="AJ237" t="s">
        <v>1306</v>
      </c>
    </row>
    <row r="238" spans="1:36" ht="43.5" outlineLevel="2" x14ac:dyDescent="0.35">
      <c r="A238" s="19" t="s">
        <v>551</v>
      </c>
      <c r="B238" s="19" t="s">
        <v>672</v>
      </c>
      <c r="C238" s="19" t="s">
        <v>673</v>
      </c>
      <c r="D238" s="19">
        <v>2018</v>
      </c>
      <c r="E238" s="19" t="s">
        <v>554</v>
      </c>
      <c r="F238" s="19">
        <v>80089188</v>
      </c>
      <c r="G238" s="19" t="s">
        <v>1390</v>
      </c>
      <c r="H238" s="19" t="s">
        <v>1391</v>
      </c>
      <c r="I238" s="19" t="s">
        <v>31</v>
      </c>
      <c r="J238" s="20">
        <v>1</v>
      </c>
      <c r="K238" s="21">
        <v>43588</v>
      </c>
      <c r="L238" s="21">
        <v>43598</v>
      </c>
      <c r="M238" s="21">
        <v>43640</v>
      </c>
      <c r="N238" s="24" t="s">
        <v>2448</v>
      </c>
      <c r="O238" s="19" t="s">
        <v>557</v>
      </c>
      <c r="P238" s="19" t="s">
        <v>609</v>
      </c>
      <c r="Q238" s="19" t="s">
        <v>655</v>
      </c>
      <c r="R238" s="19" t="s">
        <v>578</v>
      </c>
      <c r="S238" s="19" t="s">
        <v>1392</v>
      </c>
      <c r="T238" t="s">
        <v>51</v>
      </c>
      <c r="U238" s="22">
        <v>0</v>
      </c>
      <c r="V238" s="22">
        <v>0</v>
      </c>
      <c r="W238" s="22">
        <v>404.39</v>
      </c>
      <c r="X238" s="22">
        <v>0</v>
      </c>
      <c r="Y238" s="22">
        <v>24.96</v>
      </c>
      <c r="Z238" s="22">
        <v>0</v>
      </c>
      <c r="AA238" s="22">
        <v>0</v>
      </c>
      <c r="AB238" s="22">
        <v>0</v>
      </c>
      <c r="AC238" s="22">
        <v>0</v>
      </c>
      <c r="AD238" s="22">
        <v>0</v>
      </c>
      <c r="AE238" s="22">
        <v>429.35</v>
      </c>
      <c r="AF238" s="22">
        <f t="shared" si="3"/>
        <v>429.35</v>
      </c>
      <c r="AG238" s="22">
        <v>0</v>
      </c>
      <c r="AH238" s="22">
        <v>429.35</v>
      </c>
      <c r="AI238" t="s">
        <v>562</v>
      </c>
      <c r="AJ238" t="s">
        <v>1306</v>
      </c>
    </row>
    <row r="239" spans="1:36" ht="29" outlineLevel="2" x14ac:dyDescent="0.35">
      <c r="A239" s="19" t="s">
        <v>551</v>
      </c>
      <c r="B239" s="19" t="s">
        <v>717</v>
      </c>
      <c r="C239" s="19" t="s">
        <v>673</v>
      </c>
      <c r="D239" s="19">
        <v>2018</v>
      </c>
      <c r="E239" s="19" t="s">
        <v>554</v>
      </c>
      <c r="F239" s="19">
        <v>80089212</v>
      </c>
      <c r="G239" s="19" t="s">
        <v>1393</v>
      </c>
      <c r="H239" s="19" t="s">
        <v>1394</v>
      </c>
      <c r="I239" s="19" t="s">
        <v>31</v>
      </c>
      <c r="J239" s="20">
        <v>1</v>
      </c>
      <c r="K239" s="21">
        <v>43586</v>
      </c>
      <c r="L239" s="21">
        <v>43588</v>
      </c>
      <c r="M239" s="21">
        <v>43682</v>
      </c>
      <c r="N239" s="24" t="s">
        <v>2448</v>
      </c>
      <c r="O239" s="19" t="s">
        <v>557</v>
      </c>
      <c r="P239" s="19" t="s">
        <v>665</v>
      </c>
      <c r="Q239" s="19" t="s">
        <v>864</v>
      </c>
      <c r="R239" s="19" t="s">
        <v>570</v>
      </c>
      <c r="S239" s="19" t="s">
        <v>1395</v>
      </c>
      <c r="T239" t="s">
        <v>51</v>
      </c>
      <c r="U239" s="22">
        <v>0</v>
      </c>
      <c r="V239" s="22">
        <v>0</v>
      </c>
      <c r="W239" s="22">
        <v>1870.14</v>
      </c>
      <c r="X239" s="22">
        <v>0</v>
      </c>
      <c r="Y239" s="22">
        <v>164.73</v>
      </c>
      <c r="Z239" s="22">
        <v>0</v>
      </c>
      <c r="AA239" s="22">
        <v>0</v>
      </c>
      <c r="AB239" s="22">
        <v>0</v>
      </c>
      <c r="AC239" s="22">
        <v>0</v>
      </c>
      <c r="AD239" s="22">
        <v>0</v>
      </c>
      <c r="AE239" s="22">
        <v>2034.87</v>
      </c>
      <c r="AF239" s="22">
        <f t="shared" si="3"/>
        <v>2034.87</v>
      </c>
      <c r="AG239" s="22">
        <v>0</v>
      </c>
      <c r="AH239" s="22">
        <v>2034.87</v>
      </c>
      <c r="AI239" t="s">
        <v>562</v>
      </c>
      <c r="AJ239" t="s">
        <v>1306</v>
      </c>
    </row>
    <row r="240" spans="1:36" ht="58" outlineLevel="2" x14ac:dyDescent="0.35">
      <c r="A240" s="19" t="s">
        <v>551</v>
      </c>
      <c r="B240" s="19" t="s">
        <v>996</v>
      </c>
      <c r="C240" s="19" t="s">
        <v>997</v>
      </c>
      <c r="D240" s="19">
        <v>2018</v>
      </c>
      <c r="E240" s="19" t="s">
        <v>554</v>
      </c>
      <c r="F240" s="19">
        <v>80089206</v>
      </c>
      <c r="G240" s="19" t="s">
        <v>1396</v>
      </c>
      <c r="H240" s="19" t="s">
        <v>1397</v>
      </c>
      <c r="I240" s="19" t="s">
        <v>31</v>
      </c>
      <c r="J240" s="20">
        <v>1</v>
      </c>
      <c r="K240" s="21">
        <v>43585</v>
      </c>
      <c r="L240" s="21">
        <v>43587</v>
      </c>
      <c r="M240" s="21">
        <v>43634</v>
      </c>
      <c r="N240" s="24" t="s">
        <v>2448</v>
      </c>
      <c r="O240" s="19" t="s">
        <v>557</v>
      </c>
      <c r="P240" s="19" t="s">
        <v>568</v>
      </c>
      <c r="Q240" s="19" t="s">
        <v>655</v>
      </c>
      <c r="R240" s="19" t="s">
        <v>670</v>
      </c>
      <c r="S240" s="19" t="s">
        <v>1398</v>
      </c>
      <c r="T240" t="s">
        <v>51</v>
      </c>
      <c r="U240" s="22">
        <v>0</v>
      </c>
      <c r="V240" s="22">
        <v>0</v>
      </c>
      <c r="W240" s="22">
        <v>214.25</v>
      </c>
      <c r="X240" s="22">
        <v>0</v>
      </c>
      <c r="Y240" s="22">
        <v>33.54</v>
      </c>
      <c r="Z240" s="22">
        <v>0</v>
      </c>
      <c r="AA240" s="22">
        <v>0</v>
      </c>
      <c r="AB240" s="22">
        <v>0</v>
      </c>
      <c r="AC240" s="22">
        <v>0</v>
      </c>
      <c r="AD240" s="22">
        <v>0</v>
      </c>
      <c r="AE240" s="22">
        <v>247.79</v>
      </c>
      <c r="AF240" s="22">
        <f t="shared" si="3"/>
        <v>247.79</v>
      </c>
      <c r="AG240" s="22">
        <v>0</v>
      </c>
      <c r="AH240" s="22">
        <v>247.79</v>
      </c>
      <c r="AI240" t="s">
        <v>562</v>
      </c>
      <c r="AJ240" t="s">
        <v>1306</v>
      </c>
    </row>
    <row r="241" spans="1:36" ht="58" outlineLevel="2" x14ac:dyDescent="0.35">
      <c r="A241" s="19" t="s">
        <v>551</v>
      </c>
      <c r="B241" s="19" t="s">
        <v>748</v>
      </c>
      <c r="C241" s="19" t="s">
        <v>749</v>
      </c>
      <c r="D241" s="19">
        <v>2018</v>
      </c>
      <c r="E241" s="19" t="s">
        <v>554</v>
      </c>
      <c r="F241" s="19">
        <v>80089190</v>
      </c>
      <c r="G241" s="19" t="s">
        <v>1399</v>
      </c>
      <c r="H241" s="19" t="s">
        <v>1400</v>
      </c>
      <c r="I241" s="19" t="s">
        <v>31</v>
      </c>
      <c r="J241" s="20">
        <v>1</v>
      </c>
      <c r="K241" s="21">
        <v>43581</v>
      </c>
      <c r="L241" s="21">
        <v>43584</v>
      </c>
      <c r="M241" s="21">
        <v>43628</v>
      </c>
      <c r="N241" s="24" t="s">
        <v>2448</v>
      </c>
      <c r="O241" s="19" t="s">
        <v>557</v>
      </c>
      <c r="P241" s="19" t="s">
        <v>558</v>
      </c>
      <c r="Q241" s="19" t="s">
        <v>683</v>
      </c>
      <c r="R241" s="19" t="s">
        <v>616</v>
      </c>
      <c r="S241" s="19" t="s">
        <v>1401</v>
      </c>
      <c r="T241" t="s">
        <v>121</v>
      </c>
      <c r="U241" s="22">
        <v>0</v>
      </c>
      <c r="V241" s="22">
        <v>0</v>
      </c>
      <c r="W241" s="22">
        <v>1698.28</v>
      </c>
      <c r="X241" s="22">
        <v>0</v>
      </c>
      <c r="Y241" s="22">
        <v>44.62</v>
      </c>
      <c r="Z241" s="22">
        <v>0</v>
      </c>
      <c r="AA241" s="22">
        <v>0</v>
      </c>
      <c r="AB241" s="22">
        <v>0</v>
      </c>
      <c r="AC241" s="22">
        <v>0</v>
      </c>
      <c r="AD241" s="22">
        <v>0</v>
      </c>
      <c r="AE241" s="22">
        <v>1742.9</v>
      </c>
      <c r="AF241" s="22">
        <f t="shared" si="3"/>
        <v>1742.9</v>
      </c>
      <c r="AG241" s="22">
        <v>0</v>
      </c>
      <c r="AH241" s="22">
        <v>1742.9</v>
      </c>
      <c r="AI241" t="s">
        <v>562</v>
      </c>
      <c r="AJ241" t="s">
        <v>1306</v>
      </c>
    </row>
    <row r="242" spans="1:36" ht="87" outlineLevel="2" x14ac:dyDescent="0.35">
      <c r="A242" s="19" t="s">
        <v>551</v>
      </c>
      <c r="B242" s="19" t="s">
        <v>672</v>
      </c>
      <c r="C242" s="19" t="s">
        <v>673</v>
      </c>
      <c r="D242" s="19">
        <v>2018</v>
      </c>
      <c r="E242" s="19" t="s">
        <v>554</v>
      </c>
      <c r="F242" s="19">
        <v>80089207</v>
      </c>
      <c r="G242" s="19" t="s">
        <v>1402</v>
      </c>
      <c r="H242" s="19" t="s">
        <v>1403</v>
      </c>
      <c r="I242" s="19" t="s">
        <v>31</v>
      </c>
      <c r="J242" s="20">
        <v>1</v>
      </c>
      <c r="K242" s="21">
        <v>43581</v>
      </c>
      <c r="L242" s="21">
        <v>43606</v>
      </c>
      <c r="M242" s="21">
        <v>43665</v>
      </c>
      <c r="N242" s="24" t="s">
        <v>2448</v>
      </c>
      <c r="O242" s="19" t="s">
        <v>557</v>
      </c>
      <c r="P242" s="19" t="s">
        <v>568</v>
      </c>
      <c r="Q242" s="19" t="s">
        <v>634</v>
      </c>
      <c r="R242" s="19" t="s">
        <v>708</v>
      </c>
      <c r="S242" s="19" t="s">
        <v>1404</v>
      </c>
      <c r="T242" t="s">
        <v>51</v>
      </c>
      <c r="U242" s="22">
        <v>0</v>
      </c>
      <c r="V242" s="22">
        <v>0</v>
      </c>
      <c r="W242" s="22">
        <v>917.73</v>
      </c>
      <c r="X242" s="22">
        <v>0</v>
      </c>
      <c r="Y242" s="22">
        <v>214.95</v>
      </c>
      <c r="Z242" s="22">
        <v>0</v>
      </c>
      <c r="AA242" s="22">
        <v>0</v>
      </c>
      <c r="AB242" s="22">
        <v>0</v>
      </c>
      <c r="AC242" s="22">
        <v>0</v>
      </c>
      <c r="AD242" s="22">
        <v>0</v>
      </c>
      <c r="AE242" s="22">
        <v>1132.68</v>
      </c>
      <c r="AF242" s="22">
        <f t="shared" si="3"/>
        <v>1132.68</v>
      </c>
      <c r="AG242" s="22">
        <v>0</v>
      </c>
      <c r="AH242" s="22">
        <v>1132.68</v>
      </c>
      <c r="AI242" t="s">
        <v>562</v>
      </c>
      <c r="AJ242" t="s">
        <v>1306</v>
      </c>
    </row>
    <row r="243" spans="1:36" ht="116" outlineLevel="2" x14ac:dyDescent="0.35">
      <c r="A243" s="19" t="s">
        <v>551</v>
      </c>
      <c r="B243" s="19" t="s">
        <v>1015</v>
      </c>
      <c r="C243" s="19" t="s">
        <v>1016</v>
      </c>
      <c r="D243" s="19">
        <v>2018</v>
      </c>
      <c r="E243" s="19" t="s">
        <v>554</v>
      </c>
      <c r="F243" s="19">
        <v>80089183</v>
      </c>
      <c r="G243" s="19" t="s">
        <v>1405</v>
      </c>
      <c r="H243" s="19" t="s">
        <v>1406</v>
      </c>
      <c r="I243" s="19" t="s">
        <v>31</v>
      </c>
      <c r="J243" s="20">
        <v>1</v>
      </c>
      <c r="K243" s="21">
        <v>43578</v>
      </c>
      <c r="L243" s="21">
        <v>43585</v>
      </c>
      <c r="M243" s="21">
        <v>43656</v>
      </c>
      <c r="N243" s="24" t="s">
        <v>2448</v>
      </c>
      <c r="O243" s="19" t="s">
        <v>557</v>
      </c>
      <c r="P243" s="19" t="s">
        <v>665</v>
      </c>
      <c r="Q243" s="19" t="s">
        <v>778</v>
      </c>
      <c r="R243" s="19" t="s">
        <v>616</v>
      </c>
      <c r="S243" s="19" t="s">
        <v>1407</v>
      </c>
      <c r="T243" t="s">
        <v>1021</v>
      </c>
      <c r="U243" s="22">
        <v>0</v>
      </c>
      <c r="V243" s="22">
        <v>0</v>
      </c>
      <c r="W243" s="22">
        <v>584.26</v>
      </c>
      <c r="X243" s="22">
        <v>0</v>
      </c>
      <c r="Y243" s="22">
        <v>74.13</v>
      </c>
      <c r="Z243" s="22">
        <v>0</v>
      </c>
      <c r="AA243" s="22">
        <v>0</v>
      </c>
      <c r="AB243" s="22">
        <v>0</v>
      </c>
      <c r="AC243" s="22">
        <v>0</v>
      </c>
      <c r="AD243" s="22">
        <v>0</v>
      </c>
      <c r="AE243" s="22">
        <v>658.39</v>
      </c>
      <c r="AF243" s="22">
        <f t="shared" si="3"/>
        <v>658.39</v>
      </c>
      <c r="AG243" s="22">
        <v>0</v>
      </c>
      <c r="AH243" s="22">
        <v>658.39</v>
      </c>
      <c r="AI243" t="s">
        <v>562</v>
      </c>
      <c r="AJ243" t="s">
        <v>1306</v>
      </c>
    </row>
    <row r="244" spans="1:36" ht="72.5" outlineLevel="2" x14ac:dyDescent="0.35">
      <c r="A244" s="19" t="s">
        <v>551</v>
      </c>
      <c r="B244" s="19" t="s">
        <v>945</v>
      </c>
      <c r="C244" s="19" t="s">
        <v>946</v>
      </c>
      <c r="D244" s="19">
        <v>2018</v>
      </c>
      <c r="E244" s="19" t="s">
        <v>554</v>
      </c>
      <c r="F244" s="19">
        <v>80089242</v>
      </c>
      <c r="G244" s="19" t="s">
        <v>1408</v>
      </c>
      <c r="H244" s="19" t="s">
        <v>1409</v>
      </c>
      <c r="I244" s="19" t="s">
        <v>31</v>
      </c>
      <c r="J244" s="20">
        <v>1</v>
      </c>
      <c r="K244" s="21">
        <v>43570</v>
      </c>
      <c r="L244" s="21">
        <v>43664</v>
      </c>
      <c r="M244" s="21">
        <v>43843</v>
      </c>
      <c r="N244" s="24" t="s">
        <v>2448</v>
      </c>
      <c r="O244" s="19" t="s">
        <v>557</v>
      </c>
      <c r="P244" s="19" t="s">
        <v>558</v>
      </c>
      <c r="Q244" s="19" t="s">
        <v>860</v>
      </c>
      <c r="R244" s="19" t="s">
        <v>1243</v>
      </c>
      <c r="S244" s="19" t="s">
        <v>1410</v>
      </c>
      <c r="T244" t="s">
        <v>51</v>
      </c>
      <c r="U244" s="22">
        <v>0</v>
      </c>
      <c r="V244" s="22">
        <v>0</v>
      </c>
      <c r="W244" s="22">
        <v>311</v>
      </c>
      <c r="X244" s="22">
        <v>0</v>
      </c>
      <c r="Y244" s="22">
        <v>91.21</v>
      </c>
      <c r="Z244" s="22">
        <v>0</v>
      </c>
      <c r="AA244" s="22">
        <v>0</v>
      </c>
      <c r="AB244" s="22">
        <v>0</v>
      </c>
      <c r="AC244" s="22">
        <v>0</v>
      </c>
      <c r="AD244" s="22">
        <v>0</v>
      </c>
      <c r="AE244" s="22">
        <v>402.21</v>
      </c>
      <c r="AF244" s="22">
        <f t="shared" si="3"/>
        <v>402.21</v>
      </c>
      <c r="AG244" s="22">
        <v>0</v>
      </c>
      <c r="AH244" s="22">
        <v>402.21</v>
      </c>
      <c r="AI244" t="s">
        <v>562</v>
      </c>
      <c r="AJ244" t="s">
        <v>1306</v>
      </c>
    </row>
    <row r="245" spans="1:36" ht="43.5" outlineLevel="2" x14ac:dyDescent="0.35">
      <c r="A245" s="19" t="s">
        <v>551</v>
      </c>
      <c r="B245" s="19" t="s">
        <v>572</v>
      </c>
      <c r="C245" s="19" t="s">
        <v>573</v>
      </c>
      <c r="D245" s="19">
        <v>2018</v>
      </c>
      <c r="E245" s="19" t="s">
        <v>554</v>
      </c>
      <c r="F245" s="19">
        <v>80089251</v>
      </c>
      <c r="G245" s="19" t="s">
        <v>1411</v>
      </c>
      <c r="H245" s="19" t="s">
        <v>1412</v>
      </c>
      <c r="I245" s="19" t="s">
        <v>31</v>
      </c>
      <c r="J245" s="20">
        <v>1</v>
      </c>
      <c r="K245" s="21">
        <v>43570</v>
      </c>
      <c r="L245" s="21">
        <v>43665</v>
      </c>
      <c r="M245" s="21">
        <v>43711</v>
      </c>
      <c r="N245" s="24" t="s">
        <v>2448</v>
      </c>
      <c r="O245" s="19" t="s">
        <v>557</v>
      </c>
      <c r="P245" s="19" t="s">
        <v>609</v>
      </c>
      <c r="Q245" s="19" t="s">
        <v>597</v>
      </c>
      <c r="R245" s="19" t="s">
        <v>570</v>
      </c>
      <c r="S245" s="19" t="s">
        <v>1413</v>
      </c>
      <c r="T245" t="s">
        <v>139</v>
      </c>
      <c r="U245" s="22">
        <v>0</v>
      </c>
      <c r="V245" s="22">
        <v>0</v>
      </c>
      <c r="W245" s="22">
        <v>163.58000000000001</v>
      </c>
      <c r="X245" s="22">
        <v>0</v>
      </c>
      <c r="Y245" s="22">
        <v>82.9</v>
      </c>
      <c r="Z245" s="22">
        <v>0</v>
      </c>
      <c r="AA245" s="22">
        <v>0</v>
      </c>
      <c r="AB245" s="22">
        <v>0</v>
      </c>
      <c r="AC245" s="22">
        <v>0</v>
      </c>
      <c r="AD245" s="22">
        <v>0</v>
      </c>
      <c r="AE245" s="22">
        <v>246.48</v>
      </c>
      <c r="AF245" s="22">
        <f t="shared" si="3"/>
        <v>246.48</v>
      </c>
      <c r="AG245" s="22">
        <v>0</v>
      </c>
      <c r="AH245" s="22">
        <v>246.48</v>
      </c>
      <c r="AI245" t="s">
        <v>562</v>
      </c>
      <c r="AJ245" t="s">
        <v>1306</v>
      </c>
    </row>
    <row r="246" spans="1:36" ht="43.5" outlineLevel="2" x14ac:dyDescent="0.35">
      <c r="A246" s="19" t="s">
        <v>551</v>
      </c>
      <c r="B246" s="19" t="s">
        <v>1414</v>
      </c>
      <c r="C246" s="19" t="s">
        <v>749</v>
      </c>
      <c r="D246" s="19">
        <v>2018</v>
      </c>
      <c r="E246" s="19" t="s">
        <v>554</v>
      </c>
      <c r="F246" s="19">
        <v>80089193</v>
      </c>
      <c r="G246" s="19" t="s">
        <v>1415</v>
      </c>
      <c r="H246" s="19" t="s">
        <v>1416</v>
      </c>
      <c r="I246" s="19" t="s">
        <v>31</v>
      </c>
      <c r="J246" s="20">
        <v>1</v>
      </c>
      <c r="K246" s="21">
        <v>43566</v>
      </c>
      <c r="L246" s="21">
        <v>43566</v>
      </c>
      <c r="M246" s="21">
        <v>43613</v>
      </c>
      <c r="N246" s="24" t="s">
        <v>2448</v>
      </c>
      <c r="O246" s="19" t="s">
        <v>557</v>
      </c>
      <c r="P246" s="19" t="s">
        <v>568</v>
      </c>
      <c r="Q246" s="19" t="s">
        <v>577</v>
      </c>
      <c r="R246" s="19" t="s">
        <v>578</v>
      </c>
      <c r="S246" s="19" t="s">
        <v>1417</v>
      </c>
      <c r="T246" t="s">
        <v>98</v>
      </c>
      <c r="U246" s="22">
        <v>0</v>
      </c>
      <c r="V246" s="22">
        <v>0</v>
      </c>
      <c r="W246" s="22">
        <v>589.87</v>
      </c>
      <c r="X246" s="22">
        <v>0</v>
      </c>
      <c r="Y246" s="22">
        <v>74.040000000000006</v>
      </c>
      <c r="Z246" s="22">
        <v>0</v>
      </c>
      <c r="AA246" s="22">
        <v>0</v>
      </c>
      <c r="AB246" s="22">
        <v>0</v>
      </c>
      <c r="AC246" s="22">
        <v>0</v>
      </c>
      <c r="AD246" s="22">
        <v>0</v>
      </c>
      <c r="AE246" s="22">
        <v>663.91</v>
      </c>
      <c r="AF246" s="22">
        <f t="shared" si="3"/>
        <v>663.91</v>
      </c>
      <c r="AG246" s="22">
        <v>0</v>
      </c>
      <c r="AH246" s="22">
        <v>663.91</v>
      </c>
      <c r="AI246" t="s">
        <v>562</v>
      </c>
      <c r="AJ246" t="s">
        <v>1306</v>
      </c>
    </row>
    <row r="247" spans="1:36" ht="43.5" outlineLevel="2" x14ac:dyDescent="0.35">
      <c r="A247" s="19" t="s">
        <v>551</v>
      </c>
      <c r="B247" s="19" t="s">
        <v>794</v>
      </c>
      <c r="C247" s="19" t="s">
        <v>749</v>
      </c>
      <c r="D247" s="19">
        <v>2018</v>
      </c>
      <c r="E247" s="19" t="s">
        <v>554</v>
      </c>
      <c r="F247" s="19">
        <v>80089199</v>
      </c>
      <c r="G247" s="19" t="s">
        <v>1418</v>
      </c>
      <c r="H247" s="19" t="s">
        <v>1419</v>
      </c>
      <c r="I247" s="19" t="s">
        <v>31</v>
      </c>
      <c r="J247" s="20">
        <v>1</v>
      </c>
      <c r="K247" s="21">
        <v>43566</v>
      </c>
      <c r="L247" s="21">
        <v>43585</v>
      </c>
      <c r="M247" s="21">
        <v>43678</v>
      </c>
      <c r="N247" s="24" t="s">
        <v>2448</v>
      </c>
      <c r="O247" s="19" t="s">
        <v>557</v>
      </c>
      <c r="P247" s="19" t="s">
        <v>558</v>
      </c>
      <c r="Q247" s="19" t="s">
        <v>590</v>
      </c>
      <c r="R247" s="19" t="s">
        <v>616</v>
      </c>
      <c r="S247" s="19" t="s">
        <v>1420</v>
      </c>
      <c r="T247" t="s">
        <v>212</v>
      </c>
      <c r="U247" s="22">
        <v>0</v>
      </c>
      <c r="V247" s="22">
        <v>0</v>
      </c>
      <c r="W247" s="22">
        <v>352.04</v>
      </c>
      <c r="X247" s="22">
        <v>0</v>
      </c>
      <c r="Y247" s="22">
        <v>21.02</v>
      </c>
      <c r="Z247" s="22">
        <v>0</v>
      </c>
      <c r="AA247" s="22">
        <v>0</v>
      </c>
      <c r="AB247" s="22">
        <v>0</v>
      </c>
      <c r="AC247" s="22">
        <v>0</v>
      </c>
      <c r="AD247" s="22">
        <v>0</v>
      </c>
      <c r="AE247" s="22">
        <v>373.06</v>
      </c>
      <c r="AF247" s="22">
        <f t="shared" si="3"/>
        <v>373.06</v>
      </c>
      <c r="AG247" s="22">
        <v>0</v>
      </c>
      <c r="AH247" s="22">
        <v>373.06</v>
      </c>
      <c r="AI247" t="s">
        <v>562</v>
      </c>
      <c r="AJ247" t="s">
        <v>1306</v>
      </c>
    </row>
    <row r="248" spans="1:36" ht="43.5" outlineLevel="2" x14ac:dyDescent="0.35">
      <c r="A248" s="19" t="s">
        <v>551</v>
      </c>
      <c r="B248" s="19" t="s">
        <v>552</v>
      </c>
      <c r="C248" s="19" t="s">
        <v>553</v>
      </c>
      <c r="D248" s="19">
        <v>2018</v>
      </c>
      <c r="E248" s="19" t="s">
        <v>554</v>
      </c>
      <c r="F248" s="19">
        <v>80089211</v>
      </c>
      <c r="G248" s="19" t="s">
        <v>1421</v>
      </c>
      <c r="H248" s="19" t="s">
        <v>1422</v>
      </c>
      <c r="I248" s="19" t="s">
        <v>31</v>
      </c>
      <c r="J248" s="20">
        <v>1</v>
      </c>
      <c r="K248" s="21">
        <v>43566</v>
      </c>
      <c r="L248" s="21">
        <v>43577</v>
      </c>
      <c r="M248" s="21">
        <v>43718</v>
      </c>
      <c r="N248" s="24" t="s">
        <v>2448</v>
      </c>
      <c r="O248" s="19" t="s">
        <v>557</v>
      </c>
      <c r="P248" s="19" t="s">
        <v>568</v>
      </c>
      <c r="Q248" s="19" t="s">
        <v>661</v>
      </c>
      <c r="R248" s="19" t="s">
        <v>591</v>
      </c>
      <c r="S248" s="19" t="s">
        <v>1423</v>
      </c>
      <c r="T248" t="s">
        <v>85</v>
      </c>
      <c r="U248" s="22">
        <v>0</v>
      </c>
      <c r="V248" s="22">
        <v>0</v>
      </c>
      <c r="W248" s="22">
        <v>754.36</v>
      </c>
      <c r="X248" s="22">
        <v>0</v>
      </c>
      <c r="Y248" s="22">
        <v>124.04</v>
      </c>
      <c r="Z248" s="22">
        <v>0</v>
      </c>
      <c r="AA248" s="22">
        <v>0</v>
      </c>
      <c r="AB248" s="22">
        <v>-20.25</v>
      </c>
      <c r="AC248" s="22">
        <v>0</v>
      </c>
      <c r="AD248" s="22">
        <v>0</v>
      </c>
      <c r="AE248" s="22">
        <v>878.4</v>
      </c>
      <c r="AF248" s="22">
        <f t="shared" si="3"/>
        <v>858.15</v>
      </c>
      <c r="AG248" s="22">
        <v>0</v>
      </c>
      <c r="AH248" s="22">
        <v>858.15</v>
      </c>
      <c r="AI248" t="s">
        <v>562</v>
      </c>
      <c r="AJ248" t="s">
        <v>1306</v>
      </c>
    </row>
    <row r="249" spans="1:36" ht="43.5" outlineLevel="2" x14ac:dyDescent="0.35">
      <c r="A249" s="19" t="s">
        <v>551</v>
      </c>
      <c r="B249" s="19" t="s">
        <v>552</v>
      </c>
      <c r="C249" s="19" t="s">
        <v>553</v>
      </c>
      <c r="D249" s="19">
        <v>2018</v>
      </c>
      <c r="E249" s="19" t="s">
        <v>554</v>
      </c>
      <c r="F249" s="19">
        <v>80089198</v>
      </c>
      <c r="G249" s="19" t="s">
        <v>1424</v>
      </c>
      <c r="H249" s="19" t="s">
        <v>1425</v>
      </c>
      <c r="I249" s="19" t="s">
        <v>31</v>
      </c>
      <c r="J249" s="20">
        <v>1</v>
      </c>
      <c r="K249" s="21">
        <v>43565</v>
      </c>
      <c r="L249" s="21">
        <v>43619</v>
      </c>
      <c r="M249" s="21">
        <v>44042</v>
      </c>
      <c r="N249" s="24" t="s">
        <v>2448</v>
      </c>
      <c r="O249" s="19" t="s">
        <v>557</v>
      </c>
      <c r="P249" s="19" t="s">
        <v>665</v>
      </c>
      <c r="Q249" s="19" t="s">
        <v>661</v>
      </c>
      <c r="R249" s="19" t="s">
        <v>570</v>
      </c>
      <c r="S249" s="19" t="s">
        <v>1426</v>
      </c>
      <c r="T249" t="s">
        <v>85</v>
      </c>
      <c r="U249" s="22">
        <v>1628.88</v>
      </c>
      <c r="V249" s="22">
        <v>0</v>
      </c>
      <c r="W249" s="22">
        <v>5372.82</v>
      </c>
      <c r="X249" s="22">
        <v>0</v>
      </c>
      <c r="Y249" s="22">
        <v>784.99</v>
      </c>
      <c r="Z249" s="22">
        <v>0</v>
      </c>
      <c r="AA249" s="22">
        <v>0</v>
      </c>
      <c r="AB249" s="22">
        <v>0</v>
      </c>
      <c r="AC249" s="22">
        <v>0</v>
      </c>
      <c r="AD249" s="22">
        <v>0</v>
      </c>
      <c r="AE249" s="22">
        <v>7786.69</v>
      </c>
      <c r="AF249" s="22">
        <f t="shared" si="3"/>
        <v>7786.69</v>
      </c>
      <c r="AG249" s="22">
        <v>0</v>
      </c>
      <c r="AH249" s="22">
        <v>7786.69</v>
      </c>
      <c r="AI249" t="s">
        <v>562</v>
      </c>
      <c r="AJ249" t="s">
        <v>1306</v>
      </c>
    </row>
    <row r="250" spans="1:36" ht="43.5" outlineLevel="2" x14ac:dyDescent="0.35">
      <c r="A250" s="19" t="s">
        <v>551</v>
      </c>
      <c r="B250" s="19" t="s">
        <v>821</v>
      </c>
      <c r="C250" s="19" t="s">
        <v>749</v>
      </c>
      <c r="D250" s="19">
        <v>2018</v>
      </c>
      <c r="E250" s="19" t="s">
        <v>554</v>
      </c>
      <c r="F250" s="19">
        <v>80089208</v>
      </c>
      <c r="G250" s="19" t="s">
        <v>1427</v>
      </c>
      <c r="H250" s="19" t="s">
        <v>1428</v>
      </c>
      <c r="I250" s="19" t="s">
        <v>31</v>
      </c>
      <c r="J250" s="20">
        <v>1</v>
      </c>
      <c r="K250" s="21">
        <v>43560</v>
      </c>
      <c r="L250" s="21">
        <v>43566</v>
      </c>
      <c r="M250" s="21">
        <v>43616</v>
      </c>
      <c r="N250" s="24" t="s">
        <v>2448</v>
      </c>
      <c r="O250" s="19" t="s">
        <v>557</v>
      </c>
      <c r="P250" s="19" t="s">
        <v>568</v>
      </c>
      <c r="Q250" s="19" t="s">
        <v>577</v>
      </c>
      <c r="R250" s="19" t="s">
        <v>570</v>
      </c>
      <c r="S250" s="19" t="s">
        <v>1429</v>
      </c>
      <c r="T250" t="s">
        <v>121</v>
      </c>
      <c r="U250" s="22">
        <v>0</v>
      </c>
      <c r="V250" s="22">
        <v>0</v>
      </c>
      <c r="W250" s="22">
        <v>0</v>
      </c>
      <c r="X250" s="22">
        <v>0</v>
      </c>
      <c r="Y250" s="22">
        <v>0</v>
      </c>
      <c r="Z250" s="22">
        <v>0</v>
      </c>
      <c r="AA250" s="22">
        <v>0</v>
      </c>
      <c r="AB250" s="22">
        <v>0</v>
      </c>
      <c r="AC250" s="22">
        <v>0</v>
      </c>
      <c r="AD250" s="22">
        <v>0</v>
      </c>
      <c r="AE250" s="22">
        <v>0</v>
      </c>
      <c r="AF250" s="22">
        <f t="shared" si="3"/>
        <v>0</v>
      </c>
      <c r="AG250" s="22">
        <v>0</v>
      </c>
      <c r="AH250" s="22">
        <v>0</v>
      </c>
      <c r="AI250" t="s">
        <v>562</v>
      </c>
      <c r="AJ250" t="s">
        <v>1306</v>
      </c>
    </row>
    <row r="251" spans="1:36" ht="101.5" outlineLevel="2" x14ac:dyDescent="0.35">
      <c r="A251" s="19" t="s">
        <v>551</v>
      </c>
      <c r="B251" s="19" t="s">
        <v>1015</v>
      </c>
      <c r="C251" s="19" t="s">
        <v>1016</v>
      </c>
      <c r="D251" s="19">
        <v>2018</v>
      </c>
      <c r="E251" s="19" t="s">
        <v>554</v>
      </c>
      <c r="F251" s="19">
        <v>80089220</v>
      </c>
      <c r="G251" s="19" t="s">
        <v>1430</v>
      </c>
      <c r="H251" s="19" t="s">
        <v>1431</v>
      </c>
      <c r="I251" s="19" t="s">
        <v>31</v>
      </c>
      <c r="J251" s="20">
        <v>1</v>
      </c>
      <c r="K251" s="21">
        <v>43560</v>
      </c>
      <c r="L251" s="21">
        <v>43578</v>
      </c>
      <c r="M251" s="21">
        <v>43831</v>
      </c>
      <c r="N251" s="24" t="s">
        <v>2448</v>
      </c>
      <c r="O251" s="19" t="s">
        <v>557</v>
      </c>
      <c r="P251" s="19" t="s">
        <v>568</v>
      </c>
      <c r="Q251" s="19" t="s">
        <v>735</v>
      </c>
      <c r="R251" s="19" t="s">
        <v>570</v>
      </c>
      <c r="S251" s="19" t="s">
        <v>1432</v>
      </c>
      <c r="T251" t="s">
        <v>1021</v>
      </c>
      <c r="U251" s="22">
        <v>0</v>
      </c>
      <c r="V251" s="22">
        <v>0</v>
      </c>
      <c r="W251" s="22">
        <v>2909.32</v>
      </c>
      <c r="X251" s="22">
        <v>0</v>
      </c>
      <c r="Y251" s="22">
        <v>464.87</v>
      </c>
      <c r="Z251" s="22">
        <v>0</v>
      </c>
      <c r="AA251" s="22">
        <v>0</v>
      </c>
      <c r="AB251" s="22">
        <v>-19.170000000000002</v>
      </c>
      <c r="AC251" s="22">
        <v>0</v>
      </c>
      <c r="AD251" s="22">
        <v>0</v>
      </c>
      <c r="AE251" s="22">
        <v>3374.19</v>
      </c>
      <c r="AF251" s="22">
        <f t="shared" si="3"/>
        <v>3355.02</v>
      </c>
      <c r="AG251" s="22">
        <v>0</v>
      </c>
      <c r="AH251" s="22">
        <v>3355.02</v>
      </c>
      <c r="AI251" t="s">
        <v>562</v>
      </c>
      <c r="AJ251" t="s">
        <v>1306</v>
      </c>
    </row>
    <row r="252" spans="1:36" ht="43.5" outlineLevel="2" x14ac:dyDescent="0.35">
      <c r="A252" s="19" t="s">
        <v>551</v>
      </c>
      <c r="B252" s="19" t="s">
        <v>636</v>
      </c>
      <c r="C252" s="19" t="s">
        <v>594</v>
      </c>
      <c r="D252" s="19">
        <v>2018</v>
      </c>
      <c r="E252" s="19" t="s">
        <v>554</v>
      </c>
      <c r="F252" s="19">
        <v>80089240</v>
      </c>
      <c r="G252" s="19" t="s">
        <v>1433</v>
      </c>
      <c r="H252" s="19" t="s">
        <v>1434</v>
      </c>
      <c r="I252" s="19" t="s">
        <v>1435</v>
      </c>
      <c r="J252" s="20">
        <v>1</v>
      </c>
      <c r="K252" s="21">
        <v>43559</v>
      </c>
      <c r="L252" s="21">
        <v>43559</v>
      </c>
      <c r="N252" s="24" t="s">
        <v>2448</v>
      </c>
      <c r="O252" s="19" t="s">
        <v>557</v>
      </c>
      <c r="Q252" s="19" t="s">
        <v>735</v>
      </c>
      <c r="R252" s="19" t="s">
        <v>1436</v>
      </c>
      <c r="S252" s="19" t="s">
        <v>1437</v>
      </c>
      <c r="T252" t="s">
        <v>223</v>
      </c>
      <c r="U252" s="22">
        <v>39706.879999999997</v>
      </c>
      <c r="V252" s="22">
        <v>93330.12</v>
      </c>
      <c r="W252" s="22">
        <v>70554.75</v>
      </c>
      <c r="X252" s="22">
        <v>38644.25</v>
      </c>
      <c r="Y252" s="22">
        <v>6651.17</v>
      </c>
      <c r="Z252" s="22">
        <v>16758.64</v>
      </c>
      <c r="AA252" s="22">
        <v>0</v>
      </c>
      <c r="AB252" s="22">
        <v>-35.81</v>
      </c>
      <c r="AC252" s="22">
        <v>0</v>
      </c>
      <c r="AD252" s="22">
        <v>0</v>
      </c>
      <c r="AE252" s="22">
        <v>116912.8</v>
      </c>
      <c r="AF252" s="22">
        <f t="shared" si="3"/>
        <v>116876.99</v>
      </c>
      <c r="AG252" s="22">
        <v>148733.01</v>
      </c>
      <c r="AH252" s="22">
        <v>265610</v>
      </c>
      <c r="AI252" t="s">
        <v>562</v>
      </c>
      <c r="AJ252" t="s">
        <v>1306</v>
      </c>
    </row>
    <row r="253" spans="1:36" ht="43.5" outlineLevel="2" x14ac:dyDescent="0.35">
      <c r="A253" s="19" t="s">
        <v>551</v>
      </c>
      <c r="B253" s="19" t="s">
        <v>636</v>
      </c>
      <c r="C253" s="19" t="s">
        <v>594</v>
      </c>
      <c r="D253" s="19">
        <v>2018</v>
      </c>
      <c r="E253" s="19" t="s">
        <v>554</v>
      </c>
      <c r="F253" s="19">
        <v>80089182</v>
      </c>
      <c r="G253" s="19" t="s">
        <v>1438</v>
      </c>
      <c r="H253" s="19" t="s">
        <v>1439</v>
      </c>
      <c r="I253" s="19" t="s">
        <v>31</v>
      </c>
      <c r="J253" s="20">
        <v>1</v>
      </c>
      <c r="K253" s="21">
        <v>43556</v>
      </c>
      <c r="L253" s="21">
        <v>43557</v>
      </c>
      <c r="M253" s="21">
        <v>44046</v>
      </c>
      <c r="N253" s="24" t="s">
        <v>2448</v>
      </c>
      <c r="O253" s="19" t="s">
        <v>557</v>
      </c>
      <c r="P253" s="19" t="s">
        <v>609</v>
      </c>
      <c r="Q253" s="19" t="s">
        <v>720</v>
      </c>
      <c r="R253" s="19" t="s">
        <v>570</v>
      </c>
      <c r="S253" s="19" t="s">
        <v>1440</v>
      </c>
      <c r="T253" t="s">
        <v>33</v>
      </c>
      <c r="U253" s="22">
        <v>1190.8699999999999</v>
      </c>
      <c r="V253" s="22">
        <v>0</v>
      </c>
      <c r="W253" s="22">
        <v>848.23</v>
      </c>
      <c r="X253" s="22">
        <v>0</v>
      </c>
      <c r="Y253" s="22">
        <v>28.5</v>
      </c>
      <c r="Z253" s="22">
        <v>0</v>
      </c>
      <c r="AA253" s="22">
        <v>0</v>
      </c>
      <c r="AB253" s="22">
        <v>0</v>
      </c>
      <c r="AC253" s="22">
        <v>0</v>
      </c>
      <c r="AD253" s="22">
        <v>0</v>
      </c>
      <c r="AE253" s="22">
        <v>2067.6</v>
      </c>
      <c r="AF253" s="22">
        <f t="shared" si="3"/>
        <v>2067.6</v>
      </c>
      <c r="AG253" s="22">
        <v>0</v>
      </c>
      <c r="AH253" s="22">
        <v>2067.6</v>
      </c>
      <c r="AI253" t="s">
        <v>562</v>
      </c>
      <c r="AJ253" t="s">
        <v>1306</v>
      </c>
    </row>
    <row r="254" spans="1:36" ht="29" outlineLevel="2" x14ac:dyDescent="0.35">
      <c r="A254" s="19" t="s">
        <v>551</v>
      </c>
      <c r="B254" s="19" t="s">
        <v>636</v>
      </c>
      <c r="C254" s="19" t="s">
        <v>594</v>
      </c>
      <c r="D254" s="19">
        <v>2018</v>
      </c>
      <c r="E254" s="19" t="s">
        <v>554</v>
      </c>
      <c r="F254" s="19">
        <v>80089288</v>
      </c>
      <c r="G254" s="19" t="s">
        <v>1441</v>
      </c>
      <c r="H254" s="19" t="s">
        <v>1442</v>
      </c>
      <c r="I254" s="19" t="s">
        <v>31</v>
      </c>
      <c r="J254" s="20">
        <v>1</v>
      </c>
      <c r="K254" s="21">
        <v>43556</v>
      </c>
      <c r="L254" s="21">
        <v>43557</v>
      </c>
      <c r="M254" s="21">
        <v>43679</v>
      </c>
      <c r="N254" s="24" t="s">
        <v>2448</v>
      </c>
      <c r="O254" s="19" t="s">
        <v>557</v>
      </c>
      <c r="P254" s="19" t="s">
        <v>576</v>
      </c>
      <c r="Q254" s="19" t="s">
        <v>634</v>
      </c>
      <c r="R254" s="19" t="s">
        <v>578</v>
      </c>
      <c r="S254" s="19" t="s">
        <v>1443</v>
      </c>
      <c r="T254" t="s">
        <v>33</v>
      </c>
      <c r="U254" s="22">
        <v>0</v>
      </c>
      <c r="V254" s="22">
        <v>0</v>
      </c>
      <c r="W254" s="22">
        <v>902.41</v>
      </c>
      <c r="X254" s="22">
        <v>0</v>
      </c>
      <c r="Y254" s="22">
        <v>616.54</v>
      </c>
      <c r="Z254" s="22">
        <v>0</v>
      </c>
      <c r="AA254" s="22">
        <v>0</v>
      </c>
      <c r="AB254" s="22">
        <v>0</v>
      </c>
      <c r="AC254" s="22">
        <v>0</v>
      </c>
      <c r="AD254" s="22">
        <v>0</v>
      </c>
      <c r="AE254" s="22">
        <v>1518.95</v>
      </c>
      <c r="AF254" s="22">
        <f t="shared" si="3"/>
        <v>1518.95</v>
      </c>
      <c r="AG254" s="22">
        <v>0</v>
      </c>
      <c r="AH254" s="22">
        <v>1518.95</v>
      </c>
      <c r="AI254" t="s">
        <v>562</v>
      </c>
      <c r="AJ254" t="s">
        <v>1306</v>
      </c>
    </row>
    <row r="255" spans="1:36" ht="43.5" outlineLevel="2" x14ac:dyDescent="0.35">
      <c r="A255" s="19" t="s">
        <v>551</v>
      </c>
      <c r="B255" s="19" t="s">
        <v>697</v>
      </c>
      <c r="C255" s="19" t="s">
        <v>698</v>
      </c>
      <c r="D255" s="19">
        <v>2018</v>
      </c>
      <c r="E255" s="19" t="s">
        <v>554</v>
      </c>
      <c r="F255" s="19">
        <v>80089174</v>
      </c>
      <c r="G255" s="19" t="s">
        <v>1444</v>
      </c>
      <c r="H255" s="19" t="s">
        <v>1445</v>
      </c>
      <c r="I255" s="19" t="s">
        <v>31</v>
      </c>
      <c r="J255" s="20">
        <v>1</v>
      </c>
      <c r="K255" s="21">
        <v>43550</v>
      </c>
      <c r="L255" s="21">
        <v>43558</v>
      </c>
      <c r="M255" s="21">
        <v>44038</v>
      </c>
      <c r="N255" s="24" t="s">
        <v>2448</v>
      </c>
      <c r="O255" s="19" t="s">
        <v>557</v>
      </c>
      <c r="P255" s="19" t="s">
        <v>568</v>
      </c>
      <c r="Q255" s="19" t="s">
        <v>569</v>
      </c>
      <c r="R255" s="19" t="s">
        <v>570</v>
      </c>
      <c r="S255" s="19" t="s">
        <v>1446</v>
      </c>
      <c r="T255" t="s">
        <v>69</v>
      </c>
      <c r="U255" s="22">
        <v>0</v>
      </c>
      <c r="V255" s="22">
        <v>0</v>
      </c>
      <c r="W255" s="22">
        <v>1313.43</v>
      </c>
      <c r="X255" s="22">
        <v>0</v>
      </c>
      <c r="Y255" s="22">
        <v>212.83</v>
      </c>
      <c r="Z255" s="22">
        <v>0</v>
      </c>
      <c r="AA255" s="22">
        <v>0</v>
      </c>
      <c r="AB255" s="22">
        <v>-72.05</v>
      </c>
      <c r="AC255" s="22">
        <v>0</v>
      </c>
      <c r="AD255" s="22">
        <v>0</v>
      </c>
      <c r="AE255" s="22">
        <v>1526.26</v>
      </c>
      <c r="AF255" s="22">
        <f t="shared" si="3"/>
        <v>1454.21</v>
      </c>
      <c r="AG255" s="22">
        <v>0</v>
      </c>
      <c r="AH255" s="22">
        <v>1454.21</v>
      </c>
      <c r="AI255" t="s">
        <v>562</v>
      </c>
      <c r="AJ255" t="s">
        <v>1306</v>
      </c>
    </row>
    <row r="256" spans="1:36" ht="43.5" outlineLevel="2" x14ac:dyDescent="0.35">
      <c r="A256" s="19" t="s">
        <v>551</v>
      </c>
      <c r="B256" s="19" t="s">
        <v>672</v>
      </c>
      <c r="C256" s="19" t="s">
        <v>673</v>
      </c>
      <c r="D256" s="19">
        <v>2018</v>
      </c>
      <c r="E256" s="19" t="s">
        <v>554</v>
      </c>
      <c r="F256" s="19">
        <v>80088360</v>
      </c>
      <c r="G256" s="19" t="s">
        <v>1447</v>
      </c>
      <c r="H256" s="19" t="s">
        <v>1448</v>
      </c>
      <c r="I256" s="19" t="s">
        <v>31</v>
      </c>
      <c r="J256" s="20">
        <v>1</v>
      </c>
      <c r="K256" s="21">
        <v>43549</v>
      </c>
      <c r="L256" s="21">
        <v>43549</v>
      </c>
      <c r="M256" s="21">
        <v>45175</v>
      </c>
      <c r="N256" s="24" t="s">
        <v>2448</v>
      </c>
      <c r="O256" s="19" t="s">
        <v>603</v>
      </c>
      <c r="P256" s="19" t="s">
        <v>665</v>
      </c>
      <c r="Q256" s="19" t="s">
        <v>590</v>
      </c>
      <c r="R256" s="19" t="s">
        <v>616</v>
      </c>
      <c r="S256" s="19" t="s">
        <v>1449</v>
      </c>
      <c r="T256" t="s">
        <v>51</v>
      </c>
      <c r="U256" s="22">
        <v>0</v>
      </c>
      <c r="V256" s="22">
        <v>0</v>
      </c>
      <c r="W256" s="22">
        <v>587.99</v>
      </c>
      <c r="X256" s="22">
        <v>0</v>
      </c>
      <c r="Y256" s="22">
        <v>61.91</v>
      </c>
      <c r="Z256" s="22">
        <v>0</v>
      </c>
      <c r="AA256" s="22">
        <v>0</v>
      </c>
      <c r="AB256" s="22">
        <v>0</v>
      </c>
      <c r="AC256" s="22">
        <v>0</v>
      </c>
      <c r="AD256" s="22">
        <v>0</v>
      </c>
      <c r="AE256" s="22">
        <v>649.9</v>
      </c>
      <c r="AF256" s="22">
        <f t="shared" si="3"/>
        <v>649.9</v>
      </c>
      <c r="AG256" s="22">
        <v>0</v>
      </c>
      <c r="AH256" s="22">
        <v>649.9</v>
      </c>
      <c r="AI256" t="s">
        <v>562</v>
      </c>
      <c r="AJ256" t="s">
        <v>1306</v>
      </c>
    </row>
    <row r="257" spans="1:36" ht="116" outlineLevel="2" x14ac:dyDescent="0.35">
      <c r="A257" s="19" t="s">
        <v>551</v>
      </c>
      <c r="B257" s="19" t="s">
        <v>1450</v>
      </c>
      <c r="C257" s="19" t="s">
        <v>1451</v>
      </c>
      <c r="D257" s="19">
        <v>2018</v>
      </c>
      <c r="E257" s="19" t="s">
        <v>554</v>
      </c>
      <c r="F257" s="19">
        <v>80089189</v>
      </c>
      <c r="G257" s="19" t="s">
        <v>1452</v>
      </c>
      <c r="H257" s="19" t="s">
        <v>1453</v>
      </c>
      <c r="I257" s="19" t="s">
        <v>31</v>
      </c>
      <c r="J257" s="20">
        <v>1</v>
      </c>
      <c r="K257" s="21">
        <v>43549</v>
      </c>
      <c r="L257" s="21">
        <v>43558</v>
      </c>
      <c r="M257" s="21">
        <v>43806</v>
      </c>
      <c r="N257" s="24" t="s">
        <v>2448</v>
      </c>
      <c r="O257" s="19" t="s">
        <v>557</v>
      </c>
      <c r="P257" s="19" t="s">
        <v>609</v>
      </c>
      <c r="Q257" s="19" t="s">
        <v>597</v>
      </c>
      <c r="R257" s="19" t="s">
        <v>591</v>
      </c>
      <c r="S257" s="19" t="s">
        <v>1454</v>
      </c>
      <c r="T257" t="s">
        <v>314</v>
      </c>
      <c r="U257" s="22">
        <v>10512.83</v>
      </c>
      <c r="V257" s="22">
        <v>0</v>
      </c>
      <c r="W257" s="22">
        <v>8664.17</v>
      </c>
      <c r="X257" s="22">
        <v>0</v>
      </c>
      <c r="Y257" s="22">
        <v>481.53</v>
      </c>
      <c r="Z257" s="22">
        <v>0</v>
      </c>
      <c r="AA257" s="22">
        <v>0</v>
      </c>
      <c r="AB257" s="22">
        <v>0</v>
      </c>
      <c r="AC257" s="22">
        <v>0</v>
      </c>
      <c r="AD257" s="22">
        <v>0</v>
      </c>
      <c r="AE257" s="22">
        <v>19658.53</v>
      </c>
      <c r="AF257" s="22">
        <f t="shared" si="3"/>
        <v>19658.53</v>
      </c>
      <c r="AG257" s="22">
        <v>0</v>
      </c>
      <c r="AH257" s="22">
        <v>19658.53</v>
      </c>
      <c r="AI257" t="s">
        <v>562</v>
      </c>
      <c r="AJ257" t="s">
        <v>1306</v>
      </c>
    </row>
    <row r="258" spans="1:36" ht="58" outlineLevel="2" x14ac:dyDescent="0.35">
      <c r="A258" s="19" t="s">
        <v>551</v>
      </c>
      <c r="B258" s="19" t="s">
        <v>1001</v>
      </c>
      <c r="C258" s="19" t="s">
        <v>1002</v>
      </c>
      <c r="D258" s="19">
        <v>2018</v>
      </c>
      <c r="E258" s="19" t="s">
        <v>554</v>
      </c>
      <c r="F258" s="19">
        <v>80089235</v>
      </c>
      <c r="G258" s="19" t="s">
        <v>1455</v>
      </c>
      <c r="H258" s="19" t="s">
        <v>1456</v>
      </c>
      <c r="I258" s="19" t="s">
        <v>31</v>
      </c>
      <c r="J258" s="20">
        <v>1</v>
      </c>
      <c r="K258" s="21">
        <v>43549</v>
      </c>
      <c r="L258" s="21">
        <v>43558</v>
      </c>
      <c r="M258" s="21">
        <v>43655</v>
      </c>
      <c r="N258" s="24" t="s">
        <v>2448</v>
      </c>
      <c r="O258" s="19" t="s">
        <v>557</v>
      </c>
      <c r="P258" s="19" t="s">
        <v>576</v>
      </c>
      <c r="Q258" s="19" t="s">
        <v>634</v>
      </c>
      <c r="R258" s="19" t="s">
        <v>616</v>
      </c>
      <c r="S258" s="19" t="s">
        <v>1457</v>
      </c>
      <c r="T258" t="s">
        <v>51</v>
      </c>
      <c r="U258" s="22">
        <v>0</v>
      </c>
      <c r="V258" s="22">
        <v>0</v>
      </c>
      <c r="W258" s="22">
        <v>300.51</v>
      </c>
      <c r="X258" s="22">
        <v>0</v>
      </c>
      <c r="Y258" s="22">
        <v>61.44</v>
      </c>
      <c r="Z258" s="22">
        <v>0</v>
      </c>
      <c r="AA258" s="22">
        <v>0</v>
      </c>
      <c r="AB258" s="22">
        <v>-2.29</v>
      </c>
      <c r="AC258" s="22">
        <v>0</v>
      </c>
      <c r="AD258" s="22">
        <v>0</v>
      </c>
      <c r="AE258" s="22">
        <v>361.95</v>
      </c>
      <c r="AF258" s="22">
        <f t="shared" si="3"/>
        <v>359.65999999999997</v>
      </c>
      <c r="AG258" s="22">
        <v>0</v>
      </c>
      <c r="AH258" s="22">
        <v>359.66</v>
      </c>
      <c r="AI258" t="s">
        <v>562</v>
      </c>
      <c r="AJ258" t="s">
        <v>1306</v>
      </c>
    </row>
    <row r="259" spans="1:36" ht="72.5" outlineLevel="2" x14ac:dyDescent="0.35">
      <c r="A259" s="19" t="s">
        <v>551</v>
      </c>
      <c r="B259" s="19" t="s">
        <v>986</v>
      </c>
      <c r="C259" s="19" t="s">
        <v>553</v>
      </c>
      <c r="D259" s="19">
        <v>2018</v>
      </c>
      <c r="E259" s="19" t="s">
        <v>554</v>
      </c>
      <c r="F259" s="19">
        <v>80089245</v>
      </c>
      <c r="G259" s="19" t="s">
        <v>1458</v>
      </c>
      <c r="H259" s="19" t="s">
        <v>1459</v>
      </c>
      <c r="I259" s="19" t="s">
        <v>31</v>
      </c>
      <c r="J259" s="20">
        <v>1</v>
      </c>
      <c r="K259" s="21">
        <v>43544</v>
      </c>
      <c r="L259" s="21">
        <v>43550</v>
      </c>
      <c r="M259" s="21">
        <v>43591</v>
      </c>
      <c r="N259" s="24" t="s">
        <v>2448</v>
      </c>
      <c r="O259" s="19" t="s">
        <v>557</v>
      </c>
      <c r="P259" s="19" t="s">
        <v>568</v>
      </c>
      <c r="Q259" s="19" t="s">
        <v>655</v>
      </c>
      <c r="R259" s="19" t="s">
        <v>578</v>
      </c>
      <c r="S259" s="19" t="s">
        <v>1460</v>
      </c>
      <c r="T259" t="s">
        <v>169</v>
      </c>
      <c r="U259" s="22">
        <v>0</v>
      </c>
      <c r="V259" s="22">
        <v>0</v>
      </c>
      <c r="W259" s="22">
        <v>186.1</v>
      </c>
      <c r="X259" s="22">
        <v>0</v>
      </c>
      <c r="Y259" s="22">
        <v>20.059999999999999</v>
      </c>
      <c r="Z259" s="22">
        <v>0</v>
      </c>
      <c r="AA259" s="22">
        <v>0</v>
      </c>
      <c r="AB259" s="22">
        <v>0</v>
      </c>
      <c r="AC259" s="22">
        <v>0</v>
      </c>
      <c r="AD259" s="22">
        <v>0</v>
      </c>
      <c r="AE259" s="22">
        <v>206.16</v>
      </c>
      <c r="AF259" s="22">
        <f t="shared" ref="AF259:AF322" si="4">AE259+AA259+AB259+AC259</f>
        <v>206.16</v>
      </c>
      <c r="AG259" s="22">
        <v>0</v>
      </c>
      <c r="AH259" s="22">
        <v>206.16</v>
      </c>
      <c r="AI259" t="s">
        <v>562</v>
      </c>
      <c r="AJ259" t="s">
        <v>1306</v>
      </c>
    </row>
    <row r="260" spans="1:36" ht="43.5" outlineLevel="2" x14ac:dyDescent="0.35">
      <c r="A260" s="19" t="s">
        <v>551</v>
      </c>
      <c r="B260" s="19" t="s">
        <v>1001</v>
      </c>
      <c r="C260" s="19" t="s">
        <v>1002</v>
      </c>
      <c r="D260" s="19">
        <v>2018</v>
      </c>
      <c r="E260" s="19" t="s">
        <v>554</v>
      </c>
      <c r="F260" s="19">
        <v>80089170</v>
      </c>
      <c r="G260" s="19" t="s">
        <v>1461</v>
      </c>
      <c r="H260" s="19" t="s">
        <v>1462</v>
      </c>
      <c r="I260" s="19" t="s">
        <v>31</v>
      </c>
      <c r="J260" s="20">
        <v>1</v>
      </c>
      <c r="K260" s="21">
        <v>43539</v>
      </c>
      <c r="L260" s="21">
        <v>43543</v>
      </c>
      <c r="M260" s="21">
        <v>44006</v>
      </c>
      <c r="N260" s="24" t="s">
        <v>2448</v>
      </c>
      <c r="O260" s="19" t="s">
        <v>557</v>
      </c>
      <c r="P260" s="19" t="s">
        <v>568</v>
      </c>
      <c r="Q260" s="19" t="s">
        <v>860</v>
      </c>
      <c r="R260" s="19" t="s">
        <v>1463</v>
      </c>
      <c r="S260" s="19" t="s">
        <v>1464</v>
      </c>
      <c r="T260" t="s">
        <v>51</v>
      </c>
      <c r="U260" s="22">
        <v>6667.32</v>
      </c>
      <c r="V260" s="22">
        <v>0</v>
      </c>
      <c r="W260" s="22">
        <v>7514.75</v>
      </c>
      <c r="X260" s="22">
        <v>0</v>
      </c>
      <c r="Y260" s="22">
        <v>1874.58</v>
      </c>
      <c r="Z260" s="22">
        <v>0</v>
      </c>
      <c r="AA260" s="22">
        <v>0</v>
      </c>
      <c r="AB260" s="22">
        <v>-83.67</v>
      </c>
      <c r="AC260" s="22">
        <v>0</v>
      </c>
      <c r="AD260" s="22">
        <v>0</v>
      </c>
      <c r="AE260" s="22">
        <v>16056.65</v>
      </c>
      <c r="AF260" s="22">
        <f t="shared" si="4"/>
        <v>15972.98</v>
      </c>
      <c r="AG260" s="22">
        <v>0</v>
      </c>
      <c r="AH260" s="22">
        <v>15972.98</v>
      </c>
      <c r="AI260" t="s">
        <v>562</v>
      </c>
      <c r="AJ260" t="s">
        <v>1306</v>
      </c>
    </row>
    <row r="261" spans="1:36" ht="43.5" outlineLevel="2" x14ac:dyDescent="0.35">
      <c r="A261" s="19" t="s">
        <v>551</v>
      </c>
      <c r="B261" s="19" t="s">
        <v>658</v>
      </c>
      <c r="C261" s="19" t="s">
        <v>643</v>
      </c>
      <c r="D261" s="19">
        <v>2018</v>
      </c>
      <c r="E261" s="19" t="s">
        <v>554</v>
      </c>
      <c r="F261" s="19">
        <v>80089236</v>
      </c>
      <c r="G261" s="19" t="s">
        <v>1465</v>
      </c>
      <c r="H261" s="19" t="s">
        <v>1466</v>
      </c>
      <c r="I261" s="19" t="s">
        <v>31</v>
      </c>
      <c r="J261" s="20">
        <v>1</v>
      </c>
      <c r="K261" s="21">
        <v>43539</v>
      </c>
      <c r="L261" s="21">
        <v>43550</v>
      </c>
      <c r="M261" s="21">
        <v>43718</v>
      </c>
      <c r="N261" s="24" t="s">
        <v>2448</v>
      </c>
      <c r="O261" s="19" t="s">
        <v>557</v>
      </c>
      <c r="P261" s="19" t="s">
        <v>568</v>
      </c>
      <c r="Q261" s="19" t="s">
        <v>655</v>
      </c>
      <c r="R261" s="19" t="s">
        <v>578</v>
      </c>
      <c r="S261" s="19" t="s">
        <v>1467</v>
      </c>
      <c r="T261" t="s">
        <v>62</v>
      </c>
      <c r="U261" s="22">
        <v>0</v>
      </c>
      <c r="V261" s="22">
        <v>0</v>
      </c>
      <c r="W261" s="22">
        <v>376.22</v>
      </c>
      <c r="X261" s="22">
        <v>0</v>
      </c>
      <c r="Y261" s="22">
        <v>102.7</v>
      </c>
      <c r="Z261" s="22">
        <v>0</v>
      </c>
      <c r="AA261" s="22">
        <v>0</v>
      </c>
      <c r="AB261" s="22">
        <v>-50.94</v>
      </c>
      <c r="AC261" s="22">
        <v>0</v>
      </c>
      <c r="AD261" s="22">
        <v>0</v>
      </c>
      <c r="AE261" s="22">
        <v>478.92</v>
      </c>
      <c r="AF261" s="22">
        <f t="shared" si="4"/>
        <v>427.98</v>
      </c>
      <c r="AG261" s="22">
        <v>0</v>
      </c>
      <c r="AH261" s="22">
        <v>427.98</v>
      </c>
      <c r="AI261" t="s">
        <v>562</v>
      </c>
      <c r="AJ261" t="s">
        <v>1306</v>
      </c>
    </row>
    <row r="262" spans="1:36" ht="43.5" outlineLevel="2" x14ac:dyDescent="0.35">
      <c r="A262" s="19" t="s">
        <v>551</v>
      </c>
      <c r="B262" s="19" t="s">
        <v>1001</v>
      </c>
      <c r="C262" s="19" t="s">
        <v>1002</v>
      </c>
      <c r="D262" s="19">
        <v>2018</v>
      </c>
      <c r="E262" s="19" t="s">
        <v>554</v>
      </c>
      <c r="F262" s="19">
        <v>80089231</v>
      </c>
      <c r="G262" s="19" t="s">
        <v>1468</v>
      </c>
      <c r="H262" s="19" t="s">
        <v>1469</v>
      </c>
      <c r="I262" s="19" t="s">
        <v>31</v>
      </c>
      <c r="J262" s="20">
        <v>1</v>
      </c>
      <c r="K262" s="21">
        <v>43536</v>
      </c>
      <c r="L262" s="21">
        <v>43537</v>
      </c>
      <c r="M262" s="21">
        <v>43774</v>
      </c>
      <c r="N262" s="24" t="s">
        <v>2448</v>
      </c>
      <c r="O262" s="19" t="s">
        <v>557</v>
      </c>
      <c r="P262" s="19" t="s">
        <v>576</v>
      </c>
      <c r="Q262" s="19" t="s">
        <v>577</v>
      </c>
      <c r="R262" s="19" t="s">
        <v>616</v>
      </c>
      <c r="S262" s="19" t="s">
        <v>1470</v>
      </c>
      <c r="T262" t="s">
        <v>51</v>
      </c>
      <c r="U262" s="22">
        <v>0</v>
      </c>
      <c r="V262" s="22">
        <v>0</v>
      </c>
      <c r="W262" s="22">
        <v>1278.4000000000001</v>
      </c>
      <c r="X262" s="22">
        <v>0</v>
      </c>
      <c r="Y262" s="22">
        <v>104.88</v>
      </c>
      <c r="Z262" s="22">
        <v>0</v>
      </c>
      <c r="AA262" s="22">
        <v>0</v>
      </c>
      <c r="AB262" s="22">
        <v>0</v>
      </c>
      <c r="AC262" s="22">
        <v>0</v>
      </c>
      <c r="AD262" s="22">
        <v>0</v>
      </c>
      <c r="AE262" s="22">
        <v>1383.28</v>
      </c>
      <c r="AF262" s="22">
        <f t="shared" si="4"/>
        <v>1383.28</v>
      </c>
      <c r="AG262" s="22">
        <v>0</v>
      </c>
      <c r="AH262" s="22">
        <v>1383.28</v>
      </c>
      <c r="AI262" t="s">
        <v>562</v>
      </c>
      <c r="AJ262" t="s">
        <v>1306</v>
      </c>
    </row>
    <row r="263" spans="1:36" ht="29" outlineLevel="2" x14ac:dyDescent="0.35">
      <c r="A263" s="19" t="s">
        <v>551</v>
      </c>
      <c r="B263" s="19" t="s">
        <v>1001</v>
      </c>
      <c r="C263" s="19" t="s">
        <v>1002</v>
      </c>
      <c r="D263" s="19">
        <v>2018</v>
      </c>
      <c r="E263" s="19" t="s">
        <v>554</v>
      </c>
      <c r="F263" s="19">
        <v>80089250</v>
      </c>
      <c r="G263" s="19" t="s">
        <v>1471</v>
      </c>
      <c r="H263" s="19" t="s">
        <v>1472</v>
      </c>
      <c r="I263" s="19" t="s">
        <v>31</v>
      </c>
      <c r="J263" s="20">
        <v>1</v>
      </c>
      <c r="K263" s="21">
        <v>43536</v>
      </c>
      <c r="L263" s="21">
        <v>43537</v>
      </c>
      <c r="M263" s="21">
        <v>43585</v>
      </c>
      <c r="N263" s="24" t="s">
        <v>2448</v>
      </c>
      <c r="O263" s="19" t="s">
        <v>557</v>
      </c>
      <c r="P263" s="19" t="s">
        <v>568</v>
      </c>
      <c r="Q263" s="19" t="s">
        <v>577</v>
      </c>
      <c r="R263" s="19" t="s">
        <v>578</v>
      </c>
      <c r="S263" s="19" t="s">
        <v>1473</v>
      </c>
      <c r="T263" t="s">
        <v>51</v>
      </c>
      <c r="U263" s="22">
        <v>0</v>
      </c>
      <c r="V263" s="22">
        <v>0</v>
      </c>
      <c r="W263" s="22">
        <v>739.51</v>
      </c>
      <c r="X263" s="22">
        <v>0</v>
      </c>
      <c r="Y263" s="22">
        <v>55.29</v>
      </c>
      <c r="Z263" s="22">
        <v>0</v>
      </c>
      <c r="AA263" s="22">
        <v>0</v>
      </c>
      <c r="AB263" s="22">
        <v>0</v>
      </c>
      <c r="AC263" s="22">
        <v>0</v>
      </c>
      <c r="AD263" s="22">
        <v>0</v>
      </c>
      <c r="AE263" s="22">
        <v>794.8</v>
      </c>
      <c r="AF263" s="22">
        <f t="shared" si="4"/>
        <v>794.8</v>
      </c>
      <c r="AG263" s="22">
        <v>0</v>
      </c>
      <c r="AH263" s="22">
        <v>794.8</v>
      </c>
      <c r="AI263" t="s">
        <v>562</v>
      </c>
      <c r="AJ263" t="s">
        <v>1306</v>
      </c>
    </row>
    <row r="264" spans="1:36" ht="43.5" outlineLevel="2" x14ac:dyDescent="0.35">
      <c r="A264" s="19" t="s">
        <v>551</v>
      </c>
      <c r="B264" s="19" t="s">
        <v>986</v>
      </c>
      <c r="C264" s="19" t="s">
        <v>553</v>
      </c>
      <c r="D264" s="19">
        <v>2018</v>
      </c>
      <c r="E264" s="19" t="s">
        <v>554</v>
      </c>
      <c r="F264" s="19">
        <v>80091345</v>
      </c>
      <c r="G264" s="19" t="s">
        <v>1474</v>
      </c>
      <c r="H264" s="19" t="s">
        <v>1475</v>
      </c>
      <c r="I264" s="19" t="s">
        <v>31</v>
      </c>
      <c r="J264" s="20">
        <v>1</v>
      </c>
      <c r="K264" s="21">
        <v>43536</v>
      </c>
      <c r="L264" s="21">
        <v>43536</v>
      </c>
      <c r="M264" s="21">
        <v>44428</v>
      </c>
      <c r="N264" s="24" t="s">
        <v>2448</v>
      </c>
      <c r="O264" s="19" t="s">
        <v>557</v>
      </c>
      <c r="P264" s="19" t="s">
        <v>609</v>
      </c>
      <c r="Q264" s="19" t="s">
        <v>597</v>
      </c>
      <c r="R264" s="19" t="s">
        <v>591</v>
      </c>
      <c r="S264" s="19" t="s">
        <v>1476</v>
      </c>
      <c r="T264" t="s">
        <v>169</v>
      </c>
      <c r="U264" s="22">
        <v>8924</v>
      </c>
      <c r="V264" s="22">
        <v>0</v>
      </c>
      <c r="W264" s="22">
        <v>1128.58</v>
      </c>
      <c r="X264" s="22">
        <v>0</v>
      </c>
      <c r="Y264" s="22">
        <v>4420.1899999999996</v>
      </c>
      <c r="Z264" s="22">
        <v>0</v>
      </c>
      <c r="AA264" s="22">
        <v>0</v>
      </c>
      <c r="AB264" s="22">
        <v>-6.9</v>
      </c>
      <c r="AC264" s="22">
        <v>0</v>
      </c>
      <c r="AD264" s="22">
        <v>0</v>
      </c>
      <c r="AE264" s="22">
        <v>14472.77</v>
      </c>
      <c r="AF264" s="22">
        <f t="shared" si="4"/>
        <v>14465.87</v>
      </c>
      <c r="AG264" s="22">
        <v>0</v>
      </c>
      <c r="AH264" s="22">
        <v>14465.87</v>
      </c>
      <c r="AI264" t="s">
        <v>562</v>
      </c>
      <c r="AJ264" t="s">
        <v>1306</v>
      </c>
    </row>
    <row r="265" spans="1:36" ht="43.5" outlineLevel="2" x14ac:dyDescent="0.35">
      <c r="A265" s="19" t="s">
        <v>551</v>
      </c>
      <c r="B265" s="19" t="s">
        <v>586</v>
      </c>
      <c r="C265" s="19" t="s">
        <v>587</v>
      </c>
      <c r="D265" s="19">
        <v>2018</v>
      </c>
      <c r="E265" s="19" t="s">
        <v>554</v>
      </c>
      <c r="F265" s="19">
        <v>80089230</v>
      </c>
      <c r="G265" s="19" t="s">
        <v>1477</v>
      </c>
      <c r="H265" s="19" t="s">
        <v>1478</v>
      </c>
      <c r="I265" s="19" t="s">
        <v>31</v>
      </c>
      <c r="J265" s="20">
        <v>1</v>
      </c>
      <c r="K265" s="21">
        <v>43530</v>
      </c>
      <c r="L265" s="21">
        <v>43545</v>
      </c>
      <c r="M265" s="21">
        <v>43559</v>
      </c>
      <c r="N265" s="24" t="s">
        <v>2448</v>
      </c>
      <c r="O265" s="19" t="s">
        <v>557</v>
      </c>
      <c r="P265" s="19" t="s">
        <v>665</v>
      </c>
      <c r="Q265" s="19" t="s">
        <v>661</v>
      </c>
      <c r="R265" s="19" t="s">
        <v>570</v>
      </c>
      <c r="S265" s="19" t="s">
        <v>1479</v>
      </c>
      <c r="T265" t="s">
        <v>45</v>
      </c>
      <c r="U265" s="22">
        <v>0</v>
      </c>
      <c r="V265" s="22">
        <v>0</v>
      </c>
      <c r="W265" s="22">
        <v>549.82000000000005</v>
      </c>
      <c r="X265" s="22">
        <v>0</v>
      </c>
      <c r="Y265" s="22">
        <v>31.65</v>
      </c>
      <c r="Z265" s="22">
        <v>0</v>
      </c>
      <c r="AA265" s="22">
        <v>0</v>
      </c>
      <c r="AB265" s="22">
        <v>0</v>
      </c>
      <c r="AC265" s="22">
        <v>0</v>
      </c>
      <c r="AD265" s="22">
        <v>0</v>
      </c>
      <c r="AE265" s="22">
        <v>581.47</v>
      </c>
      <c r="AF265" s="22">
        <f t="shared" si="4"/>
        <v>581.47</v>
      </c>
      <c r="AG265" s="22">
        <v>0</v>
      </c>
      <c r="AH265" s="22">
        <v>581.47</v>
      </c>
      <c r="AI265" t="s">
        <v>562</v>
      </c>
      <c r="AJ265" t="s">
        <v>1306</v>
      </c>
    </row>
    <row r="266" spans="1:36" ht="72.5" outlineLevel="2" x14ac:dyDescent="0.35">
      <c r="A266" s="19" t="s">
        <v>551</v>
      </c>
      <c r="B266" s="19" t="s">
        <v>697</v>
      </c>
      <c r="C266" s="19" t="s">
        <v>698</v>
      </c>
      <c r="D266" s="19">
        <v>2018</v>
      </c>
      <c r="E266" s="19" t="s">
        <v>554</v>
      </c>
      <c r="F266" s="19">
        <v>80089222</v>
      </c>
      <c r="G266" s="19" t="s">
        <v>1480</v>
      </c>
      <c r="H266" s="19" t="s">
        <v>1481</v>
      </c>
      <c r="I266" s="19" t="s">
        <v>31</v>
      </c>
      <c r="J266" s="20">
        <v>1</v>
      </c>
      <c r="K266" s="21">
        <v>43524</v>
      </c>
      <c r="L266" s="21">
        <v>43530</v>
      </c>
      <c r="M266" s="21">
        <v>43655</v>
      </c>
      <c r="N266" s="24" t="s">
        <v>2448</v>
      </c>
      <c r="O266" s="19" t="s">
        <v>557</v>
      </c>
      <c r="P266" s="19" t="s">
        <v>609</v>
      </c>
      <c r="Q266" s="19" t="s">
        <v>584</v>
      </c>
      <c r="R266" s="19" t="s">
        <v>670</v>
      </c>
      <c r="S266" s="19" t="s">
        <v>1482</v>
      </c>
      <c r="T266" t="s">
        <v>69</v>
      </c>
      <c r="U266" s="22">
        <v>0</v>
      </c>
      <c r="V266" s="22">
        <v>0</v>
      </c>
      <c r="W266" s="22">
        <v>2050.02</v>
      </c>
      <c r="X266" s="22">
        <v>0</v>
      </c>
      <c r="Y266" s="22">
        <v>143.56</v>
      </c>
      <c r="Z266" s="22">
        <v>0</v>
      </c>
      <c r="AA266" s="22">
        <v>0</v>
      </c>
      <c r="AB266" s="22">
        <v>-19.059999999999999</v>
      </c>
      <c r="AC266" s="22">
        <v>0</v>
      </c>
      <c r="AD266" s="22">
        <v>0</v>
      </c>
      <c r="AE266" s="22">
        <v>2193.58</v>
      </c>
      <c r="AF266" s="22">
        <f t="shared" si="4"/>
        <v>2174.52</v>
      </c>
      <c r="AG266" s="22">
        <v>0</v>
      </c>
      <c r="AH266" s="22">
        <v>2174.52</v>
      </c>
      <c r="AI266" t="s">
        <v>562</v>
      </c>
      <c r="AJ266" t="s">
        <v>1306</v>
      </c>
    </row>
    <row r="267" spans="1:36" ht="43.5" outlineLevel="2" x14ac:dyDescent="0.35">
      <c r="A267" s="19" t="s">
        <v>551</v>
      </c>
      <c r="B267" s="19" t="s">
        <v>572</v>
      </c>
      <c r="C267" s="19" t="s">
        <v>573</v>
      </c>
      <c r="D267" s="19">
        <v>2018</v>
      </c>
      <c r="E267" s="19" t="s">
        <v>554</v>
      </c>
      <c r="F267" s="19">
        <v>80089209</v>
      </c>
      <c r="G267" s="19" t="s">
        <v>1483</v>
      </c>
      <c r="H267" s="19" t="s">
        <v>1484</v>
      </c>
      <c r="I267" s="19" t="s">
        <v>31</v>
      </c>
      <c r="J267" s="20">
        <v>1</v>
      </c>
      <c r="K267" s="21">
        <v>43518</v>
      </c>
      <c r="L267" s="21">
        <v>43522</v>
      </c>
      <c r="M267" s="21">
        <v>43661</v>
      </c>
      <c r="N267" s="24" t="s">
        <v>2448</v>
      </c>
      <c r="O267" s="19" t="s">
        <v>557</v>
      </c>
      <c r="P267" s="19" t="s">
        <v>665</v>
      </c>
      <c r="Q267" s="19" t="s">
        <v>569</v>
      </c>
      <c r="R267" s="19" t="s">
        <v>570</v>
      </c>
      <c r="S267" s="19" t="s">
        <v>1485</v>
      </c>
      <c r="T267" t="s">
        <v>161</v>
      </c>
      <c r="U267" s="22">
        <v>468</v>
      </c>
      <c r="V267" s="22">
        <v>0</v>
      </c>
      <c r="W267" s="22">
        <v>1554.08</v>
      </c>
      <c r="X267" s="22">
        <v>0</v>
      </c>
      <c r="Y267" s="22">
        <v>57.85</v>
      </c>
      <c r="Z267" s="22">
        <v>0</v>
      </c>
      <c r="AA267" s="22">
        <v>0</v>
      </c>
      <c r="AB267" s="22">
        <v>0</v>
      </c>
      <c r="AC267" s="22">
        <v>0</v>
      </c>
      <c r="AD267" s="22">
        <v>0</v>
      </c>
      <c r="AE267" s="22">
        <v>2079.9299999999998</v>
      </c>
      <c r="AF267" s="22">
        <f t="shared" si="4"/>
        <v>2079.9299999999998</v>
      </c>
      <c r="AG267" s="22">
        <v>0</v>
      </c>
      <c r="AH267" s="22">
        <v>2079.9299999999998</v>
      </c>
      <c r="AI267" t="s">
        <v>562</v>
      </c>
      <c r="AJ267" t="s">
        <v>1306</v>
      </c>
    </row>
    <row r="268" spans="1:36" ht="43.5" outlineLevel="2" x14ac:dyDescent="0.35">
      <c r="A268" s="19" t="s">
        <v>551</v>
      </c>
      <c r="B268" s="19" t="s">
        <v>794</v>
      </c>
      <c r="C268" s="19" t="s">
        <v>749</v>
      </c>
      <c r="D268" s="19">
        <v>2018</v>
      </c>
      <c r="E268" s="19" t="s">
        <v>554</v>
      </c>
      <c r="F268" s="19">
        <v>80089216</v>
      </c>
      <c r="G268" s="19" t="s">
        <v>1486</v>
      </c>
      <c r="H268" s="19" t="s">
        <v>1487</v>
      </c>
      <c r="I268" s="19" t="s">
        <v>31</v>
      </c>
      <c r="J268" s="20">
        <v>1</v>
      </c>
      <c r="K268" s="21">
        <v>43517</v>
      </c>
      <c r="L268" s="21">
        <v>43529</v>
      </c>
      <c r="M268" s="21">
        <v>43607</v>
      </c>
      <c r="N268" s="24" t="s">
        <v>2448</v>
      </c>
      <c r="O268" s="19" t="s">
        <v>557</v>
      </c>
      <c r="P268" s="19" t="s">
        <v>568</v>
      </c>
      <c r="Q268" s="19" t="s">
        <v>704</v>
      </c>
      <c r="R268" s="19" t="s">
        <v>670</v>
      </c>
      <c r="S268" s="19" t="s">
        <v>1488</v>
      </c>
      <c r="T268" t="s">
        <v>212</v>
      </c>
      <c r="U268" s="22">
        <v>0</v>
      </c>
      <c r="V268" s="22">
        <v>0</v>
      </c>
      <c r="W268" s="22">
        <v>879.88</v>
      </c>
      <c r="X268" s="22">
        <v>0</v>
      </c>
      <c r="Y268" s="22">
        <v>40.54</v>
      </c>
      <c r="Z268" s="22">
        <v>0</v>
      </c>
      <c r="AA268" s="22">
        <v>0</v>
      </c>
      <c r="AB268" s="22">
        <v>0</v>
      </c>
      <c r="AC268" s="22">
        <v>0</v>
      </c>
      <c r="AD268" s="22">
        <v>0</v>
      </c>
      <c r="AE268" s="22">
        <v>920.42</v>
      </c>
      <c r="AF268" s="22">
        <f t="shared" si="4"/>
        <v>920.42</v>
      </c>
      <c r="AG268" s="22">
        <v>0</v>
      </c>
      <c r="AH268" s="22">
        <v>920.42</v>
      </c>
      <c r="AI268" t="s">
        <v>562</v>
      </c>
      <c r="AJ268" t="s">
        <v>1306</v>
      </c>
    </row>
    <row r="269" spans="1:36" ht="43.5" outlineLevel="2" x14ac:dyDescent="0.35">
      <c r="A269" s="19" t="s">
        <v>551</v>
      </c>
      <c r="B269" s="19" t="s">
        <v>636</v>
      </c>
      <c r="C269" s="19" t="s">
        <v>594</v>
      </c>
      <c r="D269" s="19">
        <v>2018</v>
      </c>
      <c r="E269" s="19" t="s">
        <v>554</v>
      </c>
      <c r="F269" s="19">
        <v>80089202</v>
      </c>
      <c r="G269" s="19" t="s">
        <v>1489</v>
      </c>
      <c r="H269" s="19" t="s">
        <v>1490</v>
      </c>
      <c r="I269" s="19" t="s">
        <v>31</v>
      </c>
      <c r="J269" s="20">
        <v>1</v>
      </c>
      <c r="K269" s="21">
        <v>43516</v>
      </c>
      <c r="L269" s="21">
        <v>43522</v>
      </c>
      <c r="M269" s="21">
        <v>43565</v>
      </c>
      <c r="N269" s="24" t="s">
        <v>2448</v>
      </c>
      <c r="O269" s="19" t="s">
        <v>557</v>
      </c>
      <c r="P269" s="19" t="s">
        <v>609</v>
      </c>
      <c r="Q269" s="19" t="s">
        <v>661</v>
      </c>
      <c r="R269" s="19" t="s">
        <v>616</v>
      </c>
      <c r="S269" s="19" t="s">
        <v>1491</v>
      </c>
      <c r="T269" t="s">
        <v>33</v>
      </c>
      <c r="U269" s="22">
        <v>0</v>
      </c>
      <c r="V269" s="22">
        <v>0</v>
      </c>
      <c r="W269" s="22">
        <v>653.09</v>
      </c>
      <c r="X269" s="22">
        <v>0</v>
      </c>
      <c r="Y269" s="22">
        <v>9.5</v>
      </c>
      <c r="Z269" s="22">
        <v>0</v>
      </c>
      <c r="AA269" s="22">
        <v>0</v>
      </c>
      <c r="AB269" s="22">
        <v>0</v>
      </c>
      <c r="AC269" s="22">
        <v>0</v>
      </c>
      <c r="AD269" s="22">
        <v>0</v>
      </c>
      <c r="AE269" s="22">
        <v>662.59</v>
      </c>
      <c r="AF269" s="22">
        <f t="shared" si="4"/>
        <v>662.59</v>
      </c>
      <c r="AG269" s="22">
        <v>0</v>
      </c>
      <c r="AH269" s="22">
        <v>662.59</v>
      </c>
      <c r="AI269" t="s">
        <v>562</v>
      </c>
      <c r="AJ269" t="s">
        <v>1306</v>
      </c>
    </row>
    <row r="270" spans="1:36" ht="58" outlineLevel="2" x14ac:dyDescent="0.35">
      <c r="A270" s="19" t="s">
        <v>551</v>
      </c>
      <c r="B270" s="19" t="s">
        <v>996</v>
      </c>
      <c r="C270" s="19" t="s">
        <v>997</v>
      </c>
      <c r="D270" s="19">
        <v>2018</v>
      </c>
      <c r="E270" s="19" t="s">
        <v>554</v>
      </c>
      <c r="F270" s="19">
        <v>80089186</v>
      </c>
      <c r="G270" s="19" t="s">
        <v>1492</v>
      </c>
      <c r="H270" s="19" t="s">
        <v>1493</v>
      </c>
      <c r="I270" s="19" t="s">
        <v>31</v>
      </c>
      <c r="J270" s="20">
        <v>1</v>
      </c>
      <c r="K270" s="21">
        <v>43511</v>
      </c>
      <c r="L270" s="21">
        <v>43515</v>
      </c>
      <c r="M270" s="21">
        <v>43809</v>
      </c>
      <c r="N270" s="24" t="s">
        <v>2448</v>
      </c>
      <c r="O270" s="19" t="s">
        <v>557</v>
      </c>
      <c r="P270" s="19" t="s">
        <v>609</v>
      </c>
      <c r="Q270" s="19" t="s">
        <v>782</v>
      </c>
      <c r="R270" s="19" t="s">
        <v>616</v>
      </c>
      <c r="S270" s="19" t="s">
        <v>1494</v>
      </c>
      <c r="T270" t="s">
        <v>51</v>
      </c>
      <c r="U270" s="22">
        <v>0</v>
      </c>
      <c r="V270" s="22">
        <v>0</v>
      </c>
      <c r="W270" s="22">
        <v>159.96</v>
      </c>
      <c r="X270" s="22">
        <v>0</v>
      </c>
      <c r="Y270" s="22">
        <v>66.069999999999993</v>
      </c>
      <c r="Z270" s="22">
        <v>0</v>
      </c>
      <c r="AA270" s="22">
        <v>0</v>
      </c>
      <c r="AB270" s="22">
        <v>-9.5</v>
      </c>
      <c r="AC270" s="22">
        <v>0</v>
      </c>
      <c r="AD270" s="22">
        <v>0</v>
      </c>
      <c r="AE270" s="22">
        <v>226.03</v>
      </c>
      <c r="AF270" s="22">
        <f t="shared" si="4"/>
        <v>216.53</v>
      </c>
      <c r="AG270" s="22">
        <v>0</v>
      </c>
      <c r="AH270" s="22">
        <v>216.53</v>
      </c>
      <c r="AI270" t="s">
        <v>562</v>
      </c>
      <c r="AJ270" t="s">
        <v>1306</v>
      </c>
    </row>
    <row r="271" spans="1:36" ht="29" outlineLevel="2" x14ac:dyDescent="0.35">
      <c r="A271" s="19" t="s">
        <v>551</v>
      </c>
      <c r="B271" s="19" t="s">
        <v>658</v>
      </c>
      <c r="C271" s="19" t="s">
        <v>643</v>
      </c>
      <c r="D271" s="19">
        <v>2018</v>
      </c>
      <c r="E271" s="19" t="s">
        <v>554</v>
      </c>
      <c r="F271" s="19">
        <v>80089191</v>
      </c>
      <c r="G271" s="19" t="s">
        <v>1495</v>
      </c>
      <c r="H271" s="19" t="s">
        <v>1496</v>
      </c>
      <c r="I271" s="19" t="s">
        <v>31</v>
      </c>
      <c r="J271" s="20">
        <v>1</v>
      </c>
      <c r="K271" s="21">
        <v>43511</v>
      </c>
      <c r="L271" s="21">
        <v>43518</v>
      </c>
      <c r="M271" s="21">
        <v>43627</v>
      </c>
      <c r="N271" s="24" t="s">
        <v>2448</v>
      </c>
      <c r="O271" s="19" t="s">
        <v>557</v>
      </c>
      <c r="P271" s="19" t="s">
        <v>568</v>
      </c>
      <c r="Q271" s="19" t="s">
        <v>577</v>
      </c>
      <c r="R271" s="19" t="s">
        <v>616</v>
      </c>
      <c r="S271" s="19" t="s">
        <v>1497</v>
      </c>
      <c r="T271" t="s">
        <v>62</v>
      </c>
      <c r="U271" s="22">
        <v>0</v>
      </c>
      <c r="V271" s="22">
        <v>0</v>
      </c>
      <c r="W271" s="22">
        <v>1376.73</v>
      </c>
      <c r="X271" s="22">
        <v>0</v>
      </c>
      <c r="Y271" s="22">
        <v>287.05</v>
      </c>
      <c r="Z271" s="22">
        <v>0</v>
      </c>
      <c r="AA271" s="22">
        <v>0</v>
      </c>
      <c r="AB271" s="22">
        <v>-35.15</v>
      </c>
      <c r="AC271" s="22">
        <v>0</v>
      </c>
      <c r="AD271" s="22">
        <v>0</v>
      </c>
      <c r="AE271" s="22">
        <v>1663.78</v>
      </c>
      <c r="AF271" s="22">
        <f t="shared" si="4"/>
        <v>1628.6299999999999</v>
      </c>
      <c r="AG271" s="22">
        <v>0</v>
      </c>
      <c r="AH271" s="22">
        <v>1628.63</v>
      </c>
      <c r="AI271" t="s">
        <v>562</v>
      </c>
      <c r="AJ271" t="s">
        <v>1306</v>
      </c>
    </row>
    <row r="272" spans="1:36" ht="72.5" outlineLevel="2" x14ac:dyDescent="0.35">
      <c r="A272" s="19" t="s">
        <v>551</v>
      </c>
      <c r="B272" s="19" t="s">
        <v>605</v>
      </c>
      <c r="C272" s="19" t="s">
        <v>606</v>
      </c>
      <c r="D272" s="19">
        <v>2018</v>
      </c>
      <c r="E272" s="19" t="s">
        <v>554</v>
      </c>
      <c r="F272" s="19">
        <v>80089157</v>
      </c>
      <c r="G272" s="19" t="s">
        <v>1498</v>
      </c>
      <c r="H272" s="19" t="s">
        <v>1499</v>
      </c>
      <c r="I272" s="19" t="s">
        <v>31</v>
      </c>
      <c r="J272" s="20">
        <v>1</v>
      </c>
      <c r="K272" s="21">
        <v>43508</v>
      </c>
      <c r="L272" s="21">
        <v>43508</v>
      </c>
      <c r="M272" s="21">
        <v>44069</v>
      </c>
      <c r="N272" s="24" t="s">
        <v>2448</v>
      </c>
      <c r="O272" s="19" t="s">
        <v>603</v>
      </c>
      <c r="P272" s="19" t="s">
        <v>576</v>
      </c>
      <c r="Q272" s="19" t="s">
        <v>683</v>
      </c>
      <c r="R272" s="19" t="s">
        <v>578</v>
      </c>
      <c r="S272" s="19" t="s">
        <v>1500</v>
      </c>
      <c r="T272" t="s">
        <v>69</v>
      </c>
      <c r="U272" s="22">
        <v>0</v>
      </c>
      <c r="V272" s="22">
        <v>0</v>
      </c>
      <c r="W272" s="22">
        <v>7848.55</v>
      </c>
      <c r="X272" s="22">
        <v>0</v>
      </c>
      <c r="Y272" s="22">
        <v>876.48</v>
      </c>
      <c r="Z272" s="22">
        <v>0</v>
      </c>
      <c r="AA272" s="22">
        <v>0</v>
      </c>
      <c r="AB272" s="22">
        <v>-276.63</v>
      </c>
      <c r="AC272" s="22">
        <v>0</v>
      </c>
      <c r="AD272" s="22">
        <v>0</v>
      </c>
      <c r="AE272" s="22">
        <v>8725.0300000000007</v>
      </c>
      <c r="AF272" s="22">
        <f t="shared" si="4"/>
        <v>8448.4000000000015</v>
      </c>
      <c r="AG272" s="22">
        <v>0</v>
      </c>
      <c r="AH272" s="22">
        <v>8448.4</v>
      </c>
      <c r="AI272" t="s">
        <v>562</v>
      </c>
      <c r="AJ272" t="s">
        <v>1306</v>
      </c>
    </row>
    <row r="273" spans="1:36" ht="58" outlineLevel="2" x14ac:dyDescent="0.35">
      <c r="A273" s="19" t="s">
        <v>551</v>
      </c>
      <c r="B273" s="19" t="s">
        <v>753</v>
      </c>
      <c r="C273" s="19" t="s">
        <v>553</v>
      </c>
      <c r="D273" s="19">
        <v>2018</v>
      </c>
      <c r="E273" s="19" t="s">
        <v>554</v>
      </c>
      <c r="F273" s="19">
        <v>80089187</v>
      </c>
      <c r="G273" s="19" t="s">
        <v>1501</v>
      </c>
      <c r="H273" s="19" t="s">
        <v>1502</v>
      </c>
      <c r="I273" s="19" t="s">
        <v>31</v>
      </c>
      <c r="J273" s="20">
        <v>1</v>
      </c>
      <c r="K273" s="21">
        <v>43497</v>
      </c>
      <c r="L273" s="21">
        <v>43508</v>
      </c>
      <c r="M273" s="21">
        <v>43580</v>
      </c>
      <c r="N273" s="24" t="s">
        <v>2448</v>
      </c>
      <c r="O273" s="19" t="s">
        <v>557</v>
      </c>
      <c r="P273" s="19" t="s">
        <v>568</v>
      </c>
      <c r="Q273" s="19" t="s">
        <v>655</v>
      </c>
      <c r="R273" s="19" t="s">
        <v>578</v>
      </c>
      <c r="S273" s="19" t="s">
        <v>1503</v>
      </c>
      <c r="T273" t="s">
        <v>85</v>
      </c>
      <c r="U273" s="22">
        <v>0</v>
      </c>
      <c r="V273" s="22">
        <v>0</v>
      </c>
      <c r="W273" s="22">
        <v>178.5</v>
      </c>
      <c r="X273" s="22">
        <v>0</v>
      </c>
      <c r="Y273" s="22">
        <v>19</v>
      </c>
      <c r="Z273" s="22">
        <v>0</v>
      </c>
      <c r="AA273" s="22">
        <v>0</v>
      </c>
      <c r="AB273" s="22">
        <v>0</v>
      </c>
      <c r="AC273" s="22">
        <v>0</v>
      </c>
      <c r="AD273" s="22">
        <v>0</v>
      </c>
      <c r="AE273" s="22">
        <v>197.5</v>
      </c>
      <c r="AF273" s="22">
        <f t="shared" si="4"/>
        <v>197.5</v>
      </c>
      <c r="AG273" s="22">
        <v>0</v>
      </c>
      <c r="AH273" s="22">
        <v>197.5</v>
      </c>
      <c r="AI273" t="s">
        <v>562</v>
      </c>
      <c r="AJ273" t="s">
        <v>1306</v>
      </c>
    </row>
    <row r="274" spans="1:36" ht="43.5" outlineLevel="2" x14ac:dyDescent="0.35">
      <c r="A274" s="19" t="s">
        <v>551</v>
      </c>
      <c r="B274" s="19" t="s">
        <v>794</v>
      </c>
      <c r="C274" s="19" t="s">
        <v>749</v>
      </c>
      <c r="D274" s="19">
        <v>2018</v>
      </c>
      <c r="E274" s="19" t="s">
        <v>554</v>
      </c>
      <c r="F274" s="19">
        <v>80089168</v>
      </c>
      <c r="G274" s="19" t="s">
        <v>1504</v>
      </c>
      <c r="H274" s="19" t="s">
        <v>1505</v>
      </c>
      <c r="I274" s="19" t="s">
        <v>31</v>
      </c>
      <c r="J274" s="20">
        <v>1</v>
      </c>
      <c r="K274" s="21">
        <v>43495</v>
      </c>
      <c r="L274" s="21">
        <v>43501</v>
      </c>
      <c r="M274" s="21">
        <v>43675</v>
      </c>
      <c r="N274" s="24" t="s">
        <v>2448</v>
      </c>
      <c r="O274" s="19" t="s">
        <v>557</v>
      </c>
      <c r="P274" s="19" t="s">
        <v>609</v>
      </c>
      <c r="Q274" s="19" t="s">
        <v>649</v>
      </c>
      <c r="R274" s="19" t="s">
        <v>591</v>
      </c>
      <c r="S274" s="19" t="s">
        <v>1506</v>
      </c>
      <c r="T274" t="s">
        <v>212</v>
      </c>
      <c r="U274" s="22">
        <v>0</v>
      </c>
      <c r="V274" s="22">
        <v>0</v>
      </c>
      <c r="W274" s="22">
        <v>1195.23</v>
      </c>
      <c r="X274" s="22">
        <v>0</v>
      </c>
      <c r="Y274" s="22">
        <v>133.87</v>
      </c>
      <c r="Z274" s="22">
        <v>0</v>
      </c>
      <c r="AA274" s="22">
        <v>0</v>
      </c>
      <c r="AB274" s="22">
        <v>0</v>
      </c>
      <c r="AC274" s="22">
        <v>0</v>
      </c>
      <c r="AD274" s="22">
        <v>0</v>
      </c>
      <c r="AE274" s="22">
        <v>1329.1</v>
      </c>
      <c r="AF274" s="22">
        <f t="shared" si="4"/>
        <v>1329.1</v>
      </c>
      <c r="AG274" s="22">
        <v>0</v>
      </c>
      <c r="AH274" s="22">
        <v>1329.1</v>
      </c>
      <c r="AI274" t="s">
        <v>562</v>
      </c>
      <c r="AJ274" t="s">
        <v>1306</v>
      </c>
    </row>
    <row r="275" spans="1:36" ht="29" outlineLevel="2" x14ac:dyDescent="0.35">
      <c r="A275" s="19" t="s">
        <v>551</v>
      </c>
      <c r="B275" s="19" t="s">
        <v>672</v>
      </c>
      <c r="C275" s="19" t="s">
        <v>673</v>
      </c>
      <c r="D275" s="19">
        <v>2018</v>
      </c>
      <c r="E275" s="19" t="s">
        <v>554</v>
      </c>
      <c r="F275" s="19">
        <v>80089148</v>
      </c>
      <c r="G275" s="19" t="s">
        <v>1507</v>
      </c>
      <c r="H275" s="19" t="s">
        <v>1508</v>
      </c>
      <c r="I275" s="19" t="s">
        <v>31</v>
      </c>
      <c r="J275" s="20">
        <v>1</v>
      </c>
      <c r="K275" s="21">
        <v>43494</v>
      </c>
      <c r="L275" s="21">
        <v>43495</v>
      </c>
      <c r="M275" s="21">
        <v>43564</v>
      </c>
      <c r="N275" s="24" t="s">
        <v>2448</v>
      </c>
      <c r="O275" s="19" t="s">
        <v>557</v>
      </c>
      <c r="P275" s="19" t="s">
        <v>568</v>
      </c>
      <c r="Q275" s="19" t="s">
        <v>569</v>
      </c>
      <c r="R275" s="19" t="s">
        <v>591</v>
      </c>
      <c r="S275" s="19" t="s">
        <v>1509</v>
      </c>
      <c r="T275" t="s">
        <v>51</v>
      </c>
      <c r="U275" s="22">
        <v>0</v>
      </c>
      <c r="V275" s="22">
        <v>0</v>
      </c>
      <c r="W275" s="22">
        <v>1856.36</v>
      </c>
      <c r="X275" s="22">
        <v>0</v>
      </c>
      <c r="Y275" s="22">
        <v>279.60000000000002</v>
      </c>
      <c r="Z275" s="22">
        <v>0</v>
      </c>
      <c r="AA275" s="22">
        <v>0</v>
      </c>
      <c r="AB275" s="22">
        <v>0</v>
      </c>
      <c r="AC275" s="22">
        <v>0</v>
      </c>
      <c r="AD275" s="22">
        <v>0</v>
      </c>
      <c r="AE275" s="22">
        <v>2135.96</v>
      </c>
      <c r="AF275" s="22">
        <f t="shared" si="4"/>
        <v>2135.96</v>
      </c>
      <c r="AG275" s="22">
        <v>0</v>
      </c>
      <c r="AH275" s="22">
        <v>2135.96</v>
      </c>
      <c r="AI275" t="s">
        <v>562</v>
      </c>
      <c r="AJ275" t="s">
        <v>1306</v>
      </c>
    </row>
    <row r="276" spans="1:36" ht="72.5" outlineLevel="2" x14ac:dyDescent="0.35">
      <c r="A276" s="19" t="s">
        <v>551</v>
      </c>
      <c r="B276" s="19" t="s">
        <v>1414</v>
      </c>
      <c r="C276" s="19" t="s">
        <v>749</v>
      </c>
      <c r="D276" s="19">
        <v>2018</v>
      </c>
      <c r="E276" s="19" t="s">
        <v>554</v>
      </c>
      <c r="F276" s="19">
        <v>80089167</v>
      </c>
      <c r="G276" s="19" t="s">
        <v>1510</v>
      </c>
      <c r="H276" s="19" t="s">
        <v>1511</v>
      </c>
      <c r="I276" s="19" t="s">
        <v>31</v>
      </c>
      <c r="J276" s="20">
        <v>1</v>
      </c>
      <c r="K276" s="21">
        <v>43490</v>
      </c>
      <c r="L276" s="21">
        <v>43497</v>
      </c>
      <c r="M276" s="21">
        <v>43547</v>
      </c>
      <c r="N276" s="24" t="s">
        <v>2448</v>
      </c>
      <c r="O276" s="19" t="s">
        <v>557</v>
      </c>
      <c r="P276" s="19" t="s">
        <v>609</v>
      </c>
      <c r="Q276" s="19" t="s">
        <v>860</v>
      </c>
      <c r="R276" s="19" t="s">
        <v>570</v>
      </c>
      <c r="S276" s="19" t="s">
        <v>1512</v>
      </c>
      <c r="T276" t="s">
        <v>98</v>
      </c>
      <c r="U276" s="22">
        <v>0</v>
      </c>
      <c r="V276" s="22">
        <v>0</v>
      </c>
      <c r="W276" s="22">
        <v>0</v>
      </c>
      <c r="X276" s="22">
        <v>0</v>
      </c>
      <c r="Y276" s="22">
        <v>0</v>
      </c>
      <c r="Z276" s="22">
        <v>0</v>
      </c>
      <c r="AA276" s="22">
        <v>0</v>
      </c>
      <c r="AB276" s="22">
        <v>0</v>
      </c>
      <c r="AC276" s="22">
        <v>0</v>
      </c>
      <c r="AD276" s="22">
        <v>0</v>
      </c>
      <c r="AE276" s="22">
        <v>0</v>
      </c>
      <c r="AF276" s="22">
        <f t="shared" si="4"/>
        <v>0</v>
      </c>
      <c r="AG276" s="22">
        <v>0</v>
      </c>
      <c r="AH276" s="22">
        <v>0</v>
      </c>
      <c r="AI276" t="s">
        <v>562</v>
      </c>
      <c r="AJ276" t="s">
        <v>1306</v>
      </c>
    </row>
    <row r="277" spans="1:36" ht="43.5" outlineLevel="2" x14ac:dyDescent="0.35">
      <c r="A277" s="19" t="s">
        <v>551</v>
      </c>
      <c r="B277" s="19" t="s">
        <v>636</v>
      </c>
      <c r="C277" s="19" t="s">
        <v>594</v>
      </c>
      <c r="D277" s="19">
        <v>2018</v>
      </c>
      <c r="E277" s="19" t="s">
        <v>554</v>
      </c>
      <c r="F277" s="19">
        <v>80089153</v>
      </c>
      <c r="G277" s="19" t="s">
        <v>1513</v>
      </c>
      <c r="H277" s="19" t="s">
        <v>1514</v>
      </c>
      <c r="I277" s="19" t="s">
        <v>31</v>
      </c>
      <c r="J277" s="20">
        <v>1</v>
      </c>
      <c r="K277" s="21">
        <v>43488</v>
      </c>
      <c r="L277" s="21">
        <v>43489</v>
      </c>
      <c r="M277" s="21">
        <v>43588</v>
      </c>
      <c r="N277" s="24" t="s">
        <v>2448</v>
      </c>
      <c r="O277" s="19" t="s">
        <v>557</v>
      </c>
      <c r="P277" s="19" t="s">
        <v>558</v>
      </c>
      <c r="Q277" s="19" t="s">
        <v>590</v>
      </c>
      <c r="R277" s="19" t="s">
        <v>670</v>
      </c>
      <c r="S277" s="19" t="s">
        <v>1515</v>
      </c>
      <c r="T277" t="s">
        <v>33</v>
      </c>
      <c r="U277" s="22">
        <v>0</v>
      </c>
      <c r="V277" s="22">
        <v>0</v>
      </c>
      <c r="W277" s="22">
        <v>615.35</v>
      </c>
      <c r="X277" s="22">
        <v>0</v>
      </c>
      <c r="Y277" s="22">
        <v>218.83</v>
      </c>
      <c r="Z277" s="22">
        <v>0</v>
      </c>
      <c r="AA277" s="22">
        <v>0</v>
      </c>
      <c r="AB277" s="22">
        <v>-19.149999999999999</v>
      </c>
      <c r="AC277" s="22">
        <v>0</v>
      </c>
      <c r="AD277" s="22">
        <v>0</v>
      </c>
      <c r="AE277" s="22">
        <v>834.18</v>
      </c>
      <c r="AF277" s="22">
        <f t="shared" si="4"/>
        <v>815.03</v>
      </c>
      <c r="AG277" s="22">
        <v>0</v>
      </c>
      <c r="AH277" s="22">
        <v>815.03</v>
      </c>
      <c r="AI277" t="s">
        <v>562</v>
      </c>
      <c r="AJ277" t="s">
        <v>1306</v>
      </c>
    </row>
    <row r="278" spans="1:36" ht="72.5" outlineLevel="2" x14ac:dyDescent="0.35">
      <c r="A278" s="19" t="s">
        <v>551</v>
      </c>
      <c r="B278" s="19" t="s">
        <v>552</v>
      </c>
      <c r="C278" s="19" t="s">
        <v>553</v>
      </c>
      <c r="D278" s="19">
        <v>2018</v>
      </c>
      <c r="E278" s="19" t="s">
        <v>554</v>
      </c>
      <c r="F278" s="19">
        <v>80089166</v>
      </c>
      <c r="G278" s="19" t="s">
        <v>1516</v>
      </c>
      <c r="H278" s="19" t="s">
        <v>1517</v>
      </c>
      <c r="I278" s="19" t="s">
        <v>31</v>
      </c>
      <c r="J278" s="20">
        <v>1</v>
      </c>
      <c r="K278" s="21">
        <v>43488</v>
      </c>
      <c r="L278" s="21">
        <v>43488</v>
      </c>
      <c r="M278" s="21">
        <v>44123</v>
      </c>
      <c r="N278" s="24" t="s">
        <v>2448</v>
      </c>
      <c r="O278" s="19" t="s">
        <v>557</v>
      </c>
      <c r="P278" s="19" t="s">
        <v>609</v>
      </c>
      <c r="Q278" s="19" t="s">
        <v>720</v>
      </c>
      <c r="R278" s="19" t="s">
        <v>708</v>
      </c>
      <c r="S278" s="19" t="s">
        <v>1518</v>
      </c>
      <c r="T278" t="s">
        <v>85</v>
      </c>
      <c r="U278" s="22">
        <v>48042.12</v>
      </c>
      <c r="V278" s="22">
        <v>0</v>
      </c>
      <c r="W278" s="22">
        <v>9004.32</v>
      </c>
      <c r="X278" s="22">
        <v>0</v>
      </c>
      <c r="Y278" s="22">
        <v>12275.93</v>
      </c>
      <c r="Z278" s="22">
        <v>0</v>
      </c>
      <c r="AA278" s="22">
        <v>0</v>
      </c>
      <c r="AB278" s="22">
        <v>0</v>
      </c>
      <c r="AC278" s="22">
        <v>0</v>
      </c>
      <c r="AD278" s="22">
        <v>0</v>
      </c>
      <c r="AE278" s="22">
        <v>69322.37</v>
      </c>
      <c r="AF278" s="22">
        <f t="shared" si="4"/>
        <v>69322.37</v>
      </c>
      <c r="AG278" s="22">
        <v>0</v>
      </c>
      <c r="AH278" s="22">
        <v>69322.37</v>
      </c>
      <c r="AI278" t="s">
        <v>562</v>
      </c>
      <c r="AJ278" t="s">
        <v>1306</v>
      </c>
    </row>
    <row r="279" spans="1:36" ht="58" outlineLevel="2" x14ac:dyDescent="0.35">
      <c r="A279" s="19" t="s">
        <v>551</v>
      </c>
      <c r="B279" s="19" t="s">
        <v>636</v>
      </c>
      <c r="C279" s="19" t="s">
        <v>594</v>
      </c>
      <c r="D279" s="19">
        <v>2018</v>
      </c>
      <c r="E279" s="19" t="s">
        <v>554</v>
      </c>
      <c r="F279" s="19">
        <v>80089169</v>
      </c>
      <c r="G279" s="19" t="s">
        <v>1519</v>
      </c>
      <c r="H279" s="19" t="s">
        <v>1520</v>
      </c>
      <c r="I279" s="19" t="s">
        <v>31</v>
      </c>
      <c r="J279" s="20">
        <v>1</v>
      </c>
      <c r="K279" s="21">
        <v>43488</v>
      </c>
      <c r="L279" s="21">
        <v>43489</v>
      </c>
      <c r="M279" s="21">
        <v>44518</v>
      </c>
      <c r="N279" s="24" t="s">
        <v>2448</v>
      </c>
      <c r="O279" s="19" t="s">
        <v>557</v>
      </c>
      <c r="P279" s="19" t="s">
        <v>609</v>
      </c>
      <c r="Q279" s="19" t="s">
        <v>649</v>
      </c>
      <c r="R279" s="19" t="s">
        <v>708</v>
      </c>
      <c r="S279" s="19" t="s">
        <v>1521</v>
      </c>
      <c r="T279" t="s">
        <v>33</v>
      </c>
      <c r="U279" s="22">
        <v>18719.57</v>
      </c>
      <c r="V279" s="22">
        <v>0</v>
      </c>
      <c r="W279" s="22">
        <v>48462.51</v>
      </c>
      <c r="X279" s="22">
        <v>0</v>
      </c>
      <c r="Y279" s="22">
        <v>8846.76</v>
      </c>
      <c r="Z279" s="22">
        <v>0</v>
      </c>
      <c r="AA279" s="22">
        <v>-44471.13</v>
      </c>
      <c r="AB279" s="22">
        <v>-6.28</v>
      </c>
      <c r="AC279" s="22">
        <v>0</v>
      </c>
      <c r="AD279" s="22">
        <v>0</v>
      </c>
      <c r="AE279" s="22">
        <v>76028.84</v>
      </c>
      <c r="AF279" s="22">
        <f t="shared" si="4"/>
        <v>31551.43</v>
      </c>
      <c r="AG279" s="22">
        <v>0</v>
      </c>
      <c r="AH279" s="22">
        <v>31551.43</v>
      </c>
      <c r="AI279" t="s">
        <v>562</v>
      </c>
      <c r="AJ279" t="s">
        <v>1306</v>
      </c>
    </row>
    <row r="280" spans="1:36" ht="101.5" outlineLevel="2" x14ac:dyDescent="0.35">
      <c r="A280" s="19" t="s">
        <v>551</v>
      </c>
      <c r="B280" s="19" t="s">
        <v>1015</v>
      </c>
      <c r="C280" s="19" t="s">
        <v>1016</v>
      </c>
      <c r="D280" s="19">
        <v>2018</v>
      </c>
      <c r="E280" s="19" t="s">
        <v>554</v>
      </c>
      <c r="F280" s="19">
        <v>80089151</v>
      </c>
      <c r="G280" s="19" t="s">
        <v>1522</v>
      </c>
      <c r="H280" s="19" t="s">
        <v>1523</v>
      </c>
      <c r="I280" s="19" t="s">
        <v>31</v>
      </c>
      <c r="J280" s="20">
        <v>1</v>
      </c>
      <c r="K280" s="21">
        <v>43487</v>
      </c>
      <c r="L280" s="21">
        <v>43488</v>
      </c>
      <c r="M280" s="21">
        <v>43532</v>
      </c>
      <c r="N280" s="24" t="s">
        <v>2448</v>
      </c>
      <c r="O280" s="19" t="s">
        <v>557</v>
      </c>
      <c r="P280" s="19" t="s">
        <v>576</v>
      </c>
      <c r="Q280" s="19" t="s">
        <v>639</v>
      </c>
      <c r="R280" s="19" t="s">
        <v>640</v>
      </c>
      <c r="S280" s="19" t="s">
        <v>1524</v>
      </c>
      <c r="T280" t="s">
        <v>1021</v>
      </c>
      <c r="U280" s="22">
        <v>0</v>
      </c>
      <c r="V280" s="22">
        <v>0</v>
      </c>
      <c r="W280" s="22">
        <v>120.72</v>
      </c>
      <c r="X280" s="22">
        <v>0</v>
      </c>
      <c r="Y280" s="22">
        <v>10.19</v>
      </c>
      <c r="Z280" s="22">
        <v>0</v>
      </c>
      <c r="AA280" s="22">
        <v>0</v>
      </c>
      <c r="AB280" s="22">
        <v>0</v>
      </c>
      <c r="AC280" s="22">
        <v>0</v>
      </c>
      <c r="AD280" s="22">
        <v>0</v>
      </c>
      <c r="AE280" s="22">
        <v>130.91</v>
      </c>
      <c r="AF280" s="22">
        <f t="shared" si="4"/>
        <v>130.91</v>
      </c>
      <c r="AG280" s="22">
        <v>0</v>
      </c>
      <c r="AH280" s="22">
        <v>130.91</v>
      </c>
      <c r="AI280" t="s">
        <v>562</v>
      </c>
      <c r="AJ280" t="s">
        <v>1306</v>
      </c>
    </row>
    <row r="281" spans="1:36" ht="58" outlineLevel="2" x14ac:dyDescent="0.35">
      <c r="A281" s="19" t="s">
        <v>551</v>
      </c>
      <c r="B281" s="19" t="s">
        <v>636</v>
      </c>
      <c r="C281" s="19" t="s">
        <v>594</v>
      </c>
      <c r="D281" s="19">
        <v>2018</v>
      </c>
      <c r="E281" s="19" t="s">
        <v>554</v>
      </c>
      <c r="F281" s="19">
        <v>80089150</v>
      </c>
      <c r="G281" s="19" t="s">
        <v>1525</v>
      </c>
      <c r="H281" s="19" t="s">
        <v>1526</v>
      </c>
      <c r="I281" s="19" t="s">
        <v>31</v>
      </c>
      <c r="J281" s="20">
        <v>1</v>
      </c>
      <c r="K281" s="21">
        <v>43481</v>
      </c>
      <c r="L281" s="21">
        <v>43482</v>
      </c>
      <c r="M281" s="21">
        <v>43572</v>
      </c>
      <c r="N281" s="24" t="s">
        <v>2448</v>
      </c>
      <c r="O281" s="19" t="s">
        <v>557</v>
      </c>
      <c r="P281" s="19" t="s">
        <v>568</v>
      </c>
      <c r="Q281" s="19" t="s">
        <v>683</v>
      </c>
      <c r="R281" s="19" t="s">
        <v>591</v>
      </c>
      <c r="S281" s="19" t="s">
        <v>1527</v>
      </c>
      <c r="T281" t="s">
        <v>33</v>
      </c>
      <c r="U281" s="22">
        <v>0</v>
      </c>
      <c r="V281" s="22">
        <v>0</v>
      </c>
      <c r="W281" s="22">
        <v>1228.25</v>
      </c>
      <c r="X281" s="22">
        <v>0</v>
      </c>
      <c r="Y281" s="22">
        <v>70.180000000000007</v>
      </c>
      <c r="Z281" s="22">
        <v>0</v>
      </c>
      <c r="AA281" s="22">
        <v>0</v>
      </c>
      <c r="AB281" s="22">
        <v>0</v>
      </c>
      <c r="AC281" s="22">
        <v>0</v>
      </c>
      <c r="AD281" s="22">
        <v>0</v>
      </c>
      <c r="AE281" s="22">
        <v>1298.43</v>
      </c>
      <c r="AF281" s="22">
        <f t="shared" si="4"/>
        <v>1298.43</v>
      </c>
      <c r="AG281" s="22">
        <v>0</v>
      </c>
      <c r="AH281" s="22">
        <v>1298.43</v>
      </c>
      <c r="AI281" t="s">
        <v>562</v>
      </c>
      <c r="AJ281" t="s">
        <v>1306</v>
      </c>
    </row>
    <row r="282" spans="1:36" ht="43.5" outlineLevel="2" x14ac:dyDescent="0.35">
      <c r="A282" s="19" t="s">
        <v>551</v>
      </c>
      <c r="B282" s="19" t="s">
        <v>1001</v>
      </c>
      <c r="C282" s="19" t="s">
        <v>1002</v>
      </c>
      <c r="D282" s="19">
        <v>2018</v>
      </c>
      <c r="E282" s="19" t="s">
        <v>554</v>
      </c>
      <c r="F282" s="19">
        <v>80082451</v>
      </c>
      <c r="G282" s="19" t="s">
        <v>1528</v>
      </c>
      <c r="H282" s="19" t="s">
        <v>1529</v>
      </c>
      <c r="I282" s="19" t="s">
        <v>687</v>
      </c>
      <c r="J282" s="20">
        <v>1</v>
      </c>
      <c r="K282" s="21">
        <v>43479</v>
      </c>
      <c r="L282" s="21">
        <v>43487</v>
      </c>
      <c r="N282" s="24" t="s">
        <v>2448</v>
      </c>
      <c r="O282" s="19" t="s">
        <v>557</v>
      </c>
      <c r="P282" s="19" t="s">
        <v>609</v>
      </c>
      <c r="Q282" s="19" t="s">
        <v>666</v>
      </c>
      <c r="R282" s="19" t="s">
        <v>578</v>
      </c>
      <c r="S282" s="19" t="s">
        <v>1530</v>
      </c>
      <c r="T282" t="s">
        <v>51</v>
      </c>
      <c r="U282" s="22">
        <v>47265.01</v>
      </c>
      <c r="V282" s="22">
        <v>52122.99</v>
      </c>
      <c r="W282" s="22">
        <v>50525.34</v>
      </c>
      <c r="X282" s="22">
        <v>129500.66</v>
      </c>
      <c r="Y282" s="22">
        <v>60929.82</v>
      </c>
      <c r="Z282" s="22">
        <v>23037.57</v>
      </c>
      <c r="AA282" s="22">
        <v>0</v>
      </c>
      <c r="AB282" s="22">
        <v>-436.39</v>
      </c>
      <c r="AC282" s="22">
        <v>0</v>
      </c>
      <c r="AD282" s="22">
        <v>0</v>
      </c>
      <c r="AE282" s="22">
        <v>158720.17000000001</v>
      </c>
      <c r="AF282" s="22">
        <f t="shared" si="4"/>
        <v>158283.78</v>
      </c>
      <c r="AG282" s="22">
        <v>204661.22</v>
      </c>
      <c r="AH282" s="22">
        <v>362945</v>
      </c>
      <c r="AI282" t="s">
        <v>562</v>
      </c>
      <c r="AJ282" t="s">
        <v>1306</v>
      </c>
    </row>
    <row r="283" spans="1:36" ht="43.5" outlineLevel="2" x14ac:dyDescent="0.35">
      <c r="A283" s="19" t="s">
        <v>551</v>
      </c>
      <c r="B283" s="19" t="s">
        <v>572</v>
      </c>
      <c r="C283" s="19" t="s">
        <v>573</v>
      </c>
      <c r="D283" s="19">
        <v>2018</v>
      </c>
      <c r="E283" s="19" t="s">
        <v>554</v>
      </c>
      <c r="F283" s="19">
        <v>80089146</v>
      </c>
      <c r="G283" s="19" t="s">
        <v>1531</v>
      </c>
      <c r="H283" s="19" t="s">
        <v>1532</v>
      </c>
      <c r="I283" s="19" t="s">
        <v>31</v>
      </c>
      <c r="J283" s="20">
        <v>1</v>
      </c>
      <c r="K283" s="21">
        <v>43475</v>
      </c>
      <c r="L283" s="21">
        <v>43489</v>
      </c>
      <c r="M283" s="21">
        <v>43579</v>
      </c>
      <c r="N283" s="24" t="s">
        <v>2448</v>
      </c>
      <c r="O283" s="19" t="s">
        <v>557</v>
      </c>
      <c r="P283" s="19" t="s">
        <v>609</v>
      </c>
      <c r="Q283" s="19" t="s">
        <v>655</v>
      </c>
      <c r="R283" s="19" t="s">
        <v>578</v>
      </c>
      <c r="S283" s="19" t="s">
        <v>1533</v>
      </c>
      <c r="T283" t="s">
        <v>139</v>
      </c>
      <c r="U283" s="22">
        <v>0</v>
      </c>
      <c r="V283" s="22">
        <v>0</v>
      </c>
      <c r="W283" s="22">
        <v>234</v>
      </c>
      <c r="X283" s="22">
        <v>0</v>
      </c>
      <c r="Y283" s="22">
        <v>20.34</v>
      </c>
      <c r="Z283" s="22">
        <v>0</v>
      </c>
      <c r="AA283" s="22">
        <v>0</v>
      </c>
      <c r="AB283" s="22">
        <v>0</v>
      </c>
      <c r="AC283" s="22">
        <v>0</v>
      </c>
      <c r="AD283" s="22">
        <v>0</v>
      </c>
      <c r="AE283" s="22">
        <v>254.34</v>
      </c>
      <c r="AF283" s="22">
        <f t="shared" si="4"/>
        <v>254.34</v>
      </c>
      <c r="AG283" s="22">
        <v>0</v>
      </c>
      <c r="AH283" s="22">
        <v>254.34</v>
      </c>
      <c r="AI283" t="s">
        <v>562</v>
      </c>
      <c r="AJ283" t="s">
        <v>1306</v>
      </c>
    </row>
    <row r="284" spans="1:36" ht="72.5" outlineLevel="2" x14ac:dyDescent="0.35">
      <c r="A284" s="19" t="s">
        <v>551</v>
      </c>
      <c r="B284" s="19" t="s">
        <v>572</v>
      </c>
      <c r="C284" s="19" t="s">
        <v>573</v>
      </c>
      <c r="D284" s="19">
        <v>2018</v>
      </c>
      <c r="E284" s="19" t="s">
        <v>554</v>
      </c>
      <c r="F284" s="19">
        <v>80089261</v>
      </c>
      <c r="G284" s="19" t="s">
        <v>1534</v>
      </c>
      <c r="H284" s="19" t="s">
        <v>1535</v>
      </c>
      <c r="I284" s="19" t="s">
        <v>31</v>
      </c>
      <c r="J284" s="20">
        <v>1</v>
      </c>
      <c r="K284" s="21">
        <v>43455</v>
      </c>
      <c r="L284" s="21">
        <v>43468</v>
      </c>
      <c r="M284" s="21">
        <v>43717</v>
      </c>
      <c r="N284" s="24" t="s">
        <v>2448</v>
      </c>
      <c r="O284" s="19" t="s">
        <v>557</v>
      </c>
      <c r="P284" s="19" t="s">
        <v>568</v>
      </c>
      <c r="Q284" s="19" t="s">
        <v>610</v>
      </c>
      <c r="R284" s="19" t="s">
        <v>591</v>
      </c>
      <c r="S284" s="19" t="s">
        <v>1536</v>
      </c>
      <c r="T284" t="s">
        <v>139</v>
      </c>
      <c r="U284" s="22">
        <v>15076.28</v>
      </c>
      <c r="V284" s="22">
        <v>0</v>
      </c>
      <c r="W284" s="22">
        <v>22982.16</v>
      </c>
      <c r="X284" s="22">
        <v>0</v>
      </c>
      <c r="Y284" s="22">
        <v>337.55</v>
      </c>
      <c r="Z284" s="22">
        <v>0</v>
      </c>
      <c r="AA284" s="22">
        <v>0</v>
      </c>
      <c r="AB284" s="22">
        <v>0</v>
      </c>
      <c r="AC284" s="22">
        <v>0</v>
      </c>
      <c r="AD284" s="22">
        <v>0</v>
      </c>
      <c r="AE284" s="22">
        <v>38395.99</v>
      </c>
      <c r="AF284" s="22">
        <f t="shared" si="4"/>
        <v>38395.99</v>
      </c>
      <c r="AG284" s="22">
        <v>0</v>
      </c>
      <c r="AH284" s="22">
        <v>38395.99</v>
      </c>
      <c r="AI284" t="s">
        <v>562</v>
      </c>
      <c r="AJ284" t="s">
        <v>1306</v>
      </c>
    </row>
    <row r="285" spans="1:36" ht="43.5" outlineLevel="2" x14ac:dyDescent="0.35">
      <c r="A285" s="19" t="s">
        <v>551</v>
      </c>
      <c r="B285" s="19" t="s">
        <v>986</v>
      </c>
      <c r="C285" s="19" t="s">
        <v>553</v>
      </c>
      <c r="D285" s="19">
        <v>2018</v>
      </c>
      <c r="E285" s="19" t="s">
        <v>554</v>
      </c>
      <c r="F285" s="19">
        <v>80089290</v>
      </c>
      <c r="G285" s="19" t="s">
        <v>1537</v>
      </c>
      <c r="H285" s="19" t="s">
        <v>1538</v>
      </c>
      <c r="I285" s="19" t="s">
        <v>31</v>
      </c>
      <c r="J285" s="20">
        <v>1</v>
      </c>
      <c r="K285" s="21">
        <v>43455</v>
      </c>
      <c r="L285" s="21">
        <v>43460</v>
      </c>
      <c r="M285" s="21">
        <v>43627</v>
      </c>
      <c r="N285" s="24" t="s">
        <v>2448</v>
      </c>
      <c r="O285" s="19" t="s">
        <v>557</v>
      </c>
      <c r="P285" s="19" t="s">
        <v>665</v>
      </c>
      <c r="Q285" s="19" t="s">
        <v>569</v>
      </c>
      <c r="R285" s="19" t="s">
        <v>570</v>
      </c>
      <c r="S285" s="19" t="s">
        <v>1539</v>
      </c>
      <c r="T285" t="s">
        <v>169</v>
      </c>
      <c r="U285" s="22">
        <v>0</v>
      </c>
      <c r="V285" s="22">
        <v>0</v>
      </c>
      <c r="W285" s="22">
        <v>3078.17</v>
      </c>
      <c r="X285" s="22">
        <v>0</v>
      </c>
      <c r="Y285" s="22">
        <v>357.53</v>
      </c>
      <c r="Z285" s="22">
        <v>0</v>
      </c>
      <c r="AA285" s="22">
        <v>0</v>
      </c>
      <c r="AB285" s="22">
        <v>0</v>
      </c>
      <c r="AC285" s="22">
        <v>0</v>
      </c>
      <c r="AD285" s="22">
        <v>0</v>
      </c>
      <c r="AE285" s="22">
        <v>3435.7</v>
      </c>
      <c r="AF285" s="22">
        <f t="shared" si="4"/>
        <v>3435.7</v>
      </c>
      <c r="AG285" s="22">
        <v>0</v>
      </c>
      <c r="AH285" s="22">
        <v>3435.7</v>
      </c>
      <c r="AI285" t="s">
        <v>562</v>
      </c>
      <c r="AJ285" t="s">
        <v>1306</v>
      </c>
    </row>
    <row r="286" spans="1:36" ht="43.5" outlineLevel="2" x14ac:dyDescent="0.35">
      <c r="A286" s="19" t="s">
        <v>551</v>
      </c>
      <c r="B286" s="19" t="s">
        <v>658</v>
      </c>
      <c r="C286" s="19" t="s">
        <v>643</v>
      </c>
      <c r="D286" s="19">
        <v>2018</v>
      </c>
      <c r="E286" s="19" t="s">
        <v>554</v>
      </c>
      <c r="F286" s="19">
        <v>80089276</v>
      </c>
      <c r="G286" s="19" t="s">
        <v>1540</v>
      </c>
      <c r="H286" s="19" t="s">
        <v>1541</v>
      </c>
      <c r="I286" s="19" t="s">
        <v>31</v>
      </c>
      <c r="J286" s="20">
        <v>1</v>
      </c>
      <c r="K286" s="21">
        <v>43451</v>
      </c>
      <c r="L286" s="21">
        <v>43452</v>
      </c>
      <c r="M286" s="21">
        <v>43595</v>
      </c>
      <c r="N286" s="24" t="s">
        <v>2448</v>
      </c>
      <c r="O286" s="19" t="s">
        <v>557</v>
      </c>
      <c r="P286" s="19" t="s">
        <v>558</v>
      </c>
      <c r="Q286" s="19" t="s">
        <v>610</v>
      </c>
      <c r="R286" s="19" t="s">
        <v>670</v>
      </c>
      <c r="S286" s="19" t="s">
        <v>1542</v>
      </c>
      <c r="T286" t="s">
        <v>62</v>
      </c>
      <c r="U286" s="22">
        <v>2604.4899999999998</v>
      </c>
      <c r="V286" s="22">
        <v>0</v>
      </c>
      <c r="W286" s="22">
        <v>2473.42</v>
      </c>
      <c r="X286" s="22">
        <v>0</v>
      </c>
      <c r="Y286" s="22">
        <v>143.44999999999999</v>
      </c>
      <c r="Z286" s="22">
        <v>0</v>
      </c>
      <c r="AA286" s="22">
        <v>0</v>
      </c>
      <c r="AB286" s="22">
        <v>0</v>
      </c>
      <c r="AC286" s="22">
        <v>0</v>
      </c>
      <c r="AD286" s="22">
        <v>0</v>
      </c>
      <c r="AE286" s="22">
        <v>5221.3599999999997</v>
      </c>
      <c r="AF286" s="22">
        <f t="shared" si="4"/>
        <v>5221.3599999999997</v>
      </c>
      <c r="AG286" s="22">
        <v>0</v>
      </c>
      <c r="AH286" s="22">
        <v>5221.3599999999997</v>
      </c>
      <c r="AI286" t="s">
        <v>562</v>
      </c>
      <c r="AJ286" t="s">
        <v>1306</v>
      </c>
    </row>
    <row r="287" spans="1:36" ht="29" outlineLevel="2" x14ac:dyDescent="0.35">
      <c r="A287" s="19" t="s">
        <v>551</v>
      </c>
      <c r="B287" s="19" t="s">
        <v>1090</v>
      </c>
      <c r="C287" s="19" t="s">
        <v>673</v>
      </c>
      <c r="D287" s="19">
        <v>2018</v>
      </c>
      <c r="E287" s="19" t="s">
        <v>554</v>
      </c>
      <c r="F287" s="19">
        <v>80089311</v>
      </c>
      <c r="G287" s="19" t="s">
        <v>1543</v>
      </c>
      <c r="H287" s="19" t="s">
        <v>1544</v>
      </c>
      <c r="I287" s="19" t="s">
        <v>31</v>
      </c>
      <c r="J287" s="20">
        <v>1</v>
      </c>
      <c r="K287" s="21">
        <v>43447</v>
      </c>
      <c r="L287" s="21">
        <v>43454</v>
      </c>
      <c r="M287" s="21">
        <v>44988</v>
      </c>
      <c r="N287" s="24" t="s">
        <v>2448</v>
      </c>
      <c r="O287" s="19" t="s">
        <v>557</v>
      </c>
      <c r="P287" s="19" t="s">
        <v>665</v>
      </c>
      <c r="Q287" s="19" t="s">
        <v>569</v>
      </c>
      <c r="R287" s="19" t="s">
        <v>591</v>
      </c>
      <c r="S287" s="19" t="s">
        <v>1545</v>
      </c>
      <c r="T287" t="s">
        <v>51</v>
      </c>
      <c r="U287" s="22">
        <v>21895</v>
      </c>
      <c r="V287" s="22">
        <v>0</v>
      </c>
      <c r="W287" s="22">
        <v>18520.71</v>
      </c>
      <c r="X287" s="22">
        <v>0</v>
      </c>
      <c r="Y287" s="22">
        <v>9609.99</v>
      </c>
      <c r="Z287" s="22">
        <v>0</v>
      </c>
      <c r="AA287" s="22">
        <v>0</v>
      </c>
      <c r="AB287" s="22">
        <v>-254.29</v>
      </c>
      <c r="AC287" s="22">
        <v>0</v>
      </c>
      <c r="AD287" s="22">
        <v>0</v>
      </c>
      <c r="AE287" s="22">
        <v>50025.7</v>
      </c>
      <c r="AF287" s="22">
        <f t="shared" si="4"/>
        <v>49771.409999999996</v>
      </c>
      <c r="AG287" s="22">
        <v>0</v>
      </c>
      <c r="AH287" s="22">
        <v>49771.41</v>
      </c>
      <c r="AI287" t="s">
        <v>562</v>
      </c>
      <c r="AJ287" t="s">
        <v>1306</v>
      </c>
    </row>
    <row r="288" spans="1:36" ht="58" outlineLevel="2" x14ac:dyDescent="0.35">
      <c r="A288" s="19" t="s">
        <v>551</v>
      </c>
      <c r="B288" s="19" t="s">
        <v>1015</v>
      </c>
      <c r="C288" s="19" t="s">
        <v>1016</v>
      </c>
      <c r="D288" s="19">
        <v>2018</v>
      </c>
      <c r="E288" s="19" t="s">
        <v>554</v>
      </c>
      <c r="F288" s="19">
        <v>80089244</v>
      </c>
      <c r="G288" s="19" t="s">
        <v>1546</v>
      </c>
      <c r="H288" s="19" t="s">
        <v>1547</v>
      </c>
      <c r="I288" s="19" t="s">
        <v>31</v>
      </c>
      <c r="J288" s="20">
        <v>1</v>
      </c>
      <c r="K288" s="21">
        <v>43446</v>
      </c>
      <c r="L288" s="21">
        <v>43453</v>
      </c>
      <c r="M288" s="21">
        <v>43831</v>
      </c>
      <c r="N288" s="24" t="s">
        <v>2448</v>
      </c>
      <c r="O288" s="19" t="s">
        <v>557</v>
      </c>
      <c r="P288" s="19" t="s">
        <v>665</v>
      </c>
      <c r="Q288" s="19" t="s">
        <v>569</v>
      </c>
      <c r="R288" s="19" t="s">
        <v>570</v>
      </c>
      <c r="S288" s="19" t="s">
        <v>1548</v>
      </c>
      <c r="T288" t="s">
        <v>1021</v>
      </c>
      <c r="U288" s="22">
        <v>0</v>
      </c>
      <c r="V288" s="22">
        <v>0</v>
      </c>
      <c r="W288" s="22">
        <v>2186.9899999999998</v>
      </c>
      <c r="X288" s="22">
        <v>0</v>
      </c>
      <c r="Y288" s="22">
        <v>179.44</v>
      </c>
      <c r="Z288" s="22">
        <v>0</v>
      </c>
      <c r="AA288" s="22">
        <v>0</v>
      </c>
      <c r="AB288" s="22">
        <v>0</v>
      </c>
      <c r="AC288" s="22">
        <v>0</v>
      </c>
      <c r="AD288" s="22">
        <v>0</v>
      </c>
      <c r="AE288" s="22">
        <v>2366.4299999999998</v>
      </c>
      <c r="AF288" s="22">
        <f t="shared" si="4"/>
        <v>2366.4299999999998</v>
      </c>
      <c r="AG288" s="22">
        <v>0</v>
      </c>
      <c r="AH288" s="22">
        <v>2366.4299999999998</v>
      </c>
      <c r="AI288" t="s">
        <v>562</v>
      </c>
      <c r="AJ288" t="s">
        <v>1306</v>
      </c>
    </row>
    <row r="289" spans="1:36" ht="43.5" outlineLevel="2" x14ac:dyDescent="0.35">
      <c r="A289" s="19" t="s">
        <v>551</v>
      </c>
      <c r="B289" s="19" t="s">
        <v>636</v>
      </c>
      <c r="C289" s="19" t="s">
        <v>594</v>
      </c>
      <c r="D289" s="19">
        <v>2018</v>
      </c>
      <c r="E289" s="19" t="s">
        <v>554</v>
      </c>
      <c r="F289" s="19">
        <v>80089255</v>
      </c>
      <c r="G289" s="19" t="s">
        <v>1549</v>
      </c>
      <c r="H289" s="19" t="s">
        <v>1550</v>
      </c>
      <c r="I289" s="19" t="s">
        <v>31</v>
      </c>
      <c r="J289" s="20">
        <v>1</v>
      </c>
      <c r="K289" s="21">
        <v>43445</v>
      </c>
      <c r="L289" s="21">
        <v>43467</v>
      </c>
      <c r="M289" s="21">
        <v>43516</v>
      </c>
      <c r="N289" s="24" t="s">
        <v>2448</v>
      </c>
      <c r="O289" s="19" t="s">
        <v>557</v>
      </c>
      <c r="P289" s="19" t="s">
        <v>558</v>
      </c>
      <c r="Q289" s="19" t="s">
        <v>590</v>
      </c>
      <c r="R289" s="19" t="s">
        <v>670</v>
      </c>
      <c r="S289" s="19" t="s">
        <v>1551</v>
      </c>
      <c r="T289" t="s">
        <v>33</v>
      </c>
      <c r="U289" s="22">
        <v>0</v>
      </c>
      <c r="V289" s="22">
        <v>0</v>
      </c>
      <c r="W289" s="22">
        <v>103.99</v>
      </c>
      <c r="X289" s="22">
        <v>0</v>
      </c>
      <c r="Y289" s="22">
        <v>50.53</v>
      </c>
      <c r="Z289" s="22">
        <v>0</v>
      </c>
      <c r="AA289" s="22">
        <v>0</v>
      </c>
      <c r="AB289" s="22">
        <v>0</v>
      </c>
      <c r="AC289" s="22">
        <v>0</v>
      </c>
      <c r="AD289" s="22">
        <v>0</v>
      </c>
      <c r="AE289" s="22">
        <v>154.52000000000001</v>
      </c>
      <c r="AF289" s="22">
        <f t="shared" si="4"/>
        <v>154.52000000000001</v>
      </c>
      <c r="AG289" s="22">
        <v>0</v>
      </c>
      <c r="AH289" s="22">
        <v>154.52000000000001</v>
      </c>
      <c r="AI289" t="s">
        <v>562</v>
      </c>
      <c r="AJ289" t="s">
        <v>1306</v>
      </c>
    </row>
    <row r="290" spans="1:36" ht="43.5" outlineLevel="2" x14ac:dyDescent="0.35">
      <c r="A290" s="19" t="s">
        <v>551</v>
      </c>
      <c r="B290" s="19" t="s">
        <v>986</v>
      </c>
      <c r="C290" s="19" t="s">
        <v>553</v>
      </c>
      <c r="D290" s="19">
        <v>2018</v>
      </c>
      <c r="E290" s="19" t="s">
        <v>554</v>
      </c>
      <c r="F290" s="19">
        <v>80089253</v>
      </c>
      <c r="G290" s="19" t="s">
        <v>1552</v>
      </c>
      <c r="H290" s="19" t="s">
        <v>1553</v>
      </c>
      <c r="I290" s="19" t="s">
        <v>31</v>
      </c>
      <c r="J290" s="20">
        <v>1</v>
      </c>
      <c r="K290" s="21">
        <v>43438</v>
      </c>
      <c r="L290" s="21">
        <v>43440</v>
      </c>
      <c r="M290" s="21">
        <v>43483</v>
      </c>
      <c r="N290" s="24" t="s">
        <v>2448</v>
      </c>
      <c r="O290" s="19" t="s">
        <v>557</v>
      </c>
      <c r="P290" s="19" t="s">
        <v>665</v>
      </c>
      <c r="Q290" s="19" t="s">
        <v>597</v>
      </c>
      <c r="R290" s="19" t="s">
        <v>570</v>
      </c>
      <c r="S290" s="19" t="s">
        <v>1554</v>
      </c>
      <c r="T290" t="s">
        <v>169</v>
      </c>
      <c r="U290" s="22">
        <v>0</v>
      </c>
      <c r="V290" s="22">
        <v>0</v>
      </c>
      <c r="W290" s="22">
        <v>224.14</v>
      </c>
      <c r="X290" s="22">
        <v>0</v>
      </c>
      <c r="Y290" s="22">
        <v>33.380000000000003</v>
      </c>
      <c r="Z290" s="22">
        <v>0</v>
      </c>
      <c r="AA290" s="22">
        <v>0</v>
      </c>
      <c r="AB290" s="22">
        <v>0</v>
      </c>
      <c r="AC290" s="22">
        <v>0</v>
      </c>
      <c r="AD290" s="22">
        <v>0</v>
      </c>
      <c r="AE290" s="22">
        <v>257.52</v>
      </c>
      <c r="AF290" s="22">
        <f t="shared" si="4"/>
        <v>257.52</v>
      </c>
      <c r="AG290" s="22">
        <v>0</v>
      </c>
      <c r="AH290" s="22">
        <v>257.52</v>
      </c>
      <c r="AI290" t="s">
        <v>562</v>
      </c>
      <c r="AJ290" t="s">
        <v>1306</v>
      </c>
    </row>
    <row r="291" spans="1:36" ht="43.5" outlineLevel="2" x14ac:dyDescent="0.35">
      <c r="A291" s="19" t="s">
        <v>551</v>
      </c>
      <c r="B291" s="19" t="s">
        <v>599</v>
      </c>
      <c r="C291" s="19" t="s">
        <v>600</v>
      </c>
      <c r="D291" s="19">
        <v>2018</v>
      </c>
      <c r="E291" s="19" t="s">
        <v>554</v>
      </c>
      <c r="F291" s="19">
        <v>80089257</v>
      </c>
      <c r="G291" s="19" t="s">
        <v>1555</v>
      </c>
      <c r="H291" s="19" t="s">
        <v>1556</v>
      </c>
      <c r="I291" s="19" t="s">
        <v>31</v>
      </c>
      <c r="J291" s="20">
        <v>1</v>
      </c>
      <c r="K291" s="21">
        <v>43437</v>
      </c>
      <c r="L291" s="21">
        <v>43438</v>
      </c>
      <c r="M291" s="21">
        <v>45098</v>
      </c>
      <c r="N291" s="24" t="s">
        <v>2448</v>
      </c>
      <c r="O291" s="19" t="s">
        <v>557</v>
      </c>
      <c r="P291" s="19" t="s">
        <v>665</v>
      </c>
      <c r="Q291" s="19" t="s">
        <v>597</v>
      </c>
      <c r="R291" s="19" t="s">
        <v>591</v>
      </c>
      <c r="S291" s="19" t="s">
        <v>1557</v>
      </c>
      <c r="T291" t="s">
        <v>51</v>
      </c>
      <c r="U291" s="22">
        <v>16245</v>
      </c>
      <c r="V291" s="22">
        <v>0</v>
      </c>
      <c r="W291" s="22">
        <v>36075.769999999997</v>
      </c>
      <c r="X291" s="22">
        <v>0</v>
      </c>
      <c r="Y291" s="22">
        <v>28849.66</v>
      </c>
      <c r="Z291" s="22">
        <v>0</v>
      </c>
      <c r="AA291" s="22">
        <v>0</v>
      </c>
      <c r="AB291" s="22">
        <v>0</v>
      </c>
      <c r="AC291" s="22">
        <v>0</v>
      </c>
      <c r="AD291" s="22">
        <v>0</v>
      </c>
      <c r="AE291" s="22">
        <v>81170.429999999993</v>
      </c>
      <c r="AF291" s="22">
        <f t="shared" si="4"/>
        <v>81170.429999999993</v>
      </c>
      <c r="AG291" s="22">
        <v>0</v>
      </c>
      <c r="AH291" s="22">
        <v>81170.429999999993</v>
      </c>
      <c r="AI291" t="s">
        <v>562</v>
      </c>
      <c r="AJ291" t="s">
        <v>1306</v>
      </c>
    </row>
    <row r="292" spans="1:36" ht="29" outlineLevel="2" x14ac:dyDescent="0.35">
      <c r="A292" s="19" t="s">
        <v>551</v>
      </c>
      <c r="B292" s="19" t="s">
        <v>658</v>
      </c>
      <c r="C292" s="19" t="s">
        <v>643</v>
      </c>
      <c r="D292" s="19">
        <v>2018</v>
      </c>
      <c r="E292" s="19" t="s">
        <v>554</v>
      </c>
      <c r="F292" s="19">
        <v>80089241</v>
      </c>
      <c r="G292" s="19" t="s">
        <v>1558</v>
      </c>
      <c r="H292" s="19" t="s">
        <v>1559</v>
      </c>
      <c r="I292" s="19" t="s">
        <v>31</v>
      </c>
      <c r="J292" s="20">
        <v>1</v>
      </c>
      <c r="K292" s="21">
        <v>43431</v>
      </c>
      <c r="L292" s="21">
        <v>43432</v>
      </c>
      <c r="M292" s="21">
        <v>43562</v>
      </c>
      <c r="N292" s="24" t="s">
        <v>2448</v>
      </c>
      <c r="O292" s="19" t="s">
        <v>557</v>
      </c>
      <c r="P292" s="19" t="s">
        <v>665</v>
      </c>
      <c r="Q292" s="19" t="s">
        <v>649</v>
      </c>
      <c r="R292" s="19" t="s">
        <v>616</v>
      </c>
      <c r="S292" s="19" t="s">
        <v>1560</v>
      </c>
      <c r="T292" t="s">
        <v>62</v>
      </c>
      <c r="U292" s="22">
        <v>1155.17</v>
      </c>
      <c r="V292" s="22">
        <v>0</v>
      </c>
      <c r="W292" s="22">
        <v>0</v>
      </c>
      <c r="X292" s="22">
        <v>0</v>
      </c>
      <c r="Y292" s="22">
        <v>63.07</v>
      </c>
      <c r="Z292" s="22">
        <v>0</v>
      </c>
      <c r="AA292" s="22">
        <v>0</v>
      </c>
      <c r="AB292" s="22">
        <v>0</v>
      </c>
      <c r="AC292" s="22">
        <v>0</v>
      </c>
      <c r="AD292" s="22">
        <v>0</v>
      </c>
      <c r="AE292" s="22">
        <v>1218.24</v>
      </c>
      <c r="AF292" s="22">
        <f t="shared" si="4"/>
        <v>1218.24</v>
      </c>
      <c r="AG292" s="22">
        <v>0</v>
      </c>
      <c r="AH292" s="22">
        <v>1218.24</v>
      </c>
      <c r="AI292" t="s">
        <v>562</v>
      </c>
      <c r="AJ292" t="s">
        <v>1306</v>
      </c>
    </row>
    <row r="293" spans="1:36" ht="116" outlineLevel="2" x14ac:dyDescent="0.35">
      <c r="A293" s="19" t="s">
        <v>551</v>
      </c>
      <c r="B293" s="19" t="s">
        <v>636</v>
      </c>
      <c r="C293" s="19" t="s">
        <v>594</v>
      </c>
      <c r="D293" s="19">
        <v>2018</v>
      </c>
      <c r="E293" s="19" t="s">
        <v>554</v>
      </c>
      <c r="F293" s="19">
        <v>80089246</v>
      </c>
      <c r="G293" s="19" t="s">
        <v>1561</v>
      </c>
      <c r="H293" s="19" t="s">
        <v>1562</v>
      </c>
      <c r="I293" s="19" t="s">
        <v>31</v>
      </c>
      <c r="J293" s="20">
        <v>1</v>
      </c>
      <c r="K293" s="21">
        <v>43431</v>
      </c>
      <c r="L293" s="21">
        <v>43432</v>
      </c>
      <c r="M293" s="21">
        <v>43479</v>
      </c>
      <c r="N293" s="24" t="s">
        <v>2448</v>
      </c>
      <c r="O293" s="19" t="s">
        <v>557</v>
      </c>
      <c r="P293" s="19" t="s">
        <v>568</v>
      </c>
      <c r="Q293" s="19" t="s">
        <v>634</v>
      </c>
      <c r="R293" s="19" t="s">
        <v>578</v>
      </c>
      <c r="S293" s="19" t="s">
        <v>1563</v>
      </c>
      <c r="T293" t="s">
        <v>33</v>
      </c>
      <c r="U293" s="22">
        <v>0</v>
      </c>
      <c r="V293" s="22">
        <v>0</v>
      </c>
      <c r="W293" s="22">
        <v>1187.3</v>
      </c>
      <c r="X293" s="22">
        <v>0</v>
      </c>
      <c r="Y293" s="22">
        <v>9.5</v>
      </c>
      <c r="Z293" s="22">
        <v>0</v>
      </c>
      <c r="AA293" s="22">
        <v>0</v>
      </c>
      <c r="AB293" s="22">
        <v>0</v>
      </c>
      <c r="AC293" s="22">
        <v>0</v>
      </c>
      <c r="AD293" s="22">
        <v>0</v>
      </c>
      <c r="AE293" s="22">
        <v>1196.8</v>
      </c>
      <c r="AF293" s="22">
        <f t="shared" si="4"/>
        <v>1196.8</v>
      </c>
      <c r="AG293" s="22">
        <v>0</v>
      </c>
      <c r="AH293" s="22">
        <v>1196.8</v>
      </c>
      <c r="AI293" t="s">
        <v>562</v>
      </c>
      <c r="AJ293" t="s">
        <v>1306</v>
      </c>
    </row>
    <row r="294" spans="1:36" ht="43.5" outlineLevel="2" x14ac:dyDescent="0.35">
      <c r="A294" s="19" t="s">
        <v>551</v>
      </c>
      <c r="B294" s="19" t="s">
        <v>821</v>
      </c>
      <c r="C294" s="19" t="s">
        <v>749</v>
      </c>
      <c r="D294" s="19">
        <v>2018</v>
      </c>
      <c r="E294" s="19" t="s">
        <v>554</v>
      </c>
      <c r="F294" s="19">
        <v>80089248</v>
      </c>
      <c r="G294" s="19" t="s">
        <v>1564</v>
      </c>
      <c r="H294" s="19" t="s">
        <v>1565</v>
      </c>
      <c r="I294" s="19" t="s">
        <v>31</v>
      </c>
      <c r="J294" s="20">
        <v>1</v>
      </c>
      <c r="K294" s="21">
        <v>43431</v>
      </c>
      <c r="L294" s="21">
        <v>43438</v>
      </c>
      <c r="M294" s="21">
        <v>43629</v>
      </c>
      <c r="N294" s="24" t="s">
        <v>2448</v>
      </c>
      <c r="O294" s="19" t="s">
        <v>557</v>
      </c>
      <c r="P294" s="19" t="s">
        <v>568</v>
      </c>
      <c r="Q294" s="19" t="s">
        <v>634</v>
      </c>
      <c r="R294" s="19" t="s">
        <v>591</v>
      </c>
      <c r="S294" s="19" t="s">
        <v>1566</v>
      </c>
      <c r="T294" t="s">
        <v>121</v>
      </c>
      <c r="U294" s="22">
        <v>0</v>
      </c>
      <c r="V294" s="22">
        <v>0</v>
      </c>
      <c r="W294" s="22">
        <v>247.09</v>
      </c>
      <c r="X294" s="22">
        <v>0</v>
      </c>
      <c r="Y294" s="22">
        <v>22.64</v>
      </c>
      <c r="Z294" s="22">
        <v>0</v>
      </c>
      <c r="AA294" s="22">
        <v>0</v>
      </c>
      <c r="AB294" s="22">
        <v>0</v>
      </c>
      <c r="AC294" s="22">
        <v>0</v>
      </c>
      <c r="AD294" s="22">
        <v>0</v>
      </c>
      <c r="AE294" s="22">
        <v>269.73</v>
      </c>
      <c r="AF294" s="22">
        <f t="shared" si="4"/>
        <v>269.73</v>
      </c>
      <c r="AG294" s="22">
        <v>0</v>
      </c>
      <c r="AH294" s="22">
        <v>269.73</v>
      </c>
      <c r="AI294" t="s">
        <v>562</v>
      </c>
      <c r="AJ294" t="s">
        <v>1306</v>
      </c>
    </row>
    <row r="295" spans="1:36" ht="101.5" outlineLevel="2" x14ac:dyDescent="0.35">
      <c r="A295" s="19" t="s">
        <v>551</v>
      </c>
      <c r="B295" s="19" t="s">
        <v>697</v>
      </c>
      <c r="C295" s="19" t="s">
        <v>698</v>
      </c>
      <c r="D295" s="19">
        <v>2018</v>
      </c>
      <c r="E295" s="19" t="s">
        <v>554</v>
      </c>
      <c r="F295" s="19">
        <v>80089243</v>
      </c>
      <c r="G295" s="19" t="s">
        <v>1567</v>
      </c>
      <c r="H295" s="19" t="s">
        <v>1568</v>
      </c>
      <c r="I295" s="19" t="s">
        <v>31</v>
      </c>
      <c r="J295" s="20">
        <v>1</v>
      </c>
      <c r="K295" s="21">
        <v>43424</v>
      </c>
      <c r="L295" s="21">
        <v>43431</v>
      </c>
      <c r="M295" s="21">
        <v>44008</v>
      </c>
      <c r="N295" s="24" t="s">
        <v>2448</v>
      </c>
      <c r="O295" s="19" t="s">
        <v>557</v>
      </c>
      <c r="P295" s="19" t="s">
        <v>609</v>
      </c>
      <c r="Q295" s="19" t="s">
        <v>577</v>
      </c>
      <c r="R295" s="19" t="s">
        <v>616</v>
      </c>
      <c r="S295" s="19" t="s">
        <v>1569</v>
      </c>
      <c r="T295" t="s">
        <v>69</v>
      </c>
      <c r="U295" s="22">
        <v>0</v>
      </c>
      <c r="V295" s="22">
        <v>0</v>
      </c>
      <c r="W295" s="22">
        <v>1140.08</v>
      </c>
      <c r="X295" s="22">
        <v>0</v>
      </c>
      <c r="Y295" s="22">
        <v>175.91</v>
      </c>
      <c r="Z295" s="22">
        <v>0</v>
      </c>
      <c r="AA295" s="22">
        <v>0</v>
      </c>
      <c r="AB295" s="22">
        <v>0</v>
      </c>
      <c r="AC295" s="22">
        <v>0</v>
      </c>
      <c r="AD295" s="22">
        <v>0</v>
      </c>
      <c r="AE295" s="22">
        <v>1315.99</v>
      </c>
      <c r="AF295" s="22">
        <f t="shared" si="4"/>
        <v>1315.99</v>
      </c>
      <c r="AG295" s="22">
        <v>0</v>
      </c>
      <c r="AH295" s="22">
        <v>1315.99</v>
      </c>
      <c r="AI295" t="s">
        <v>562</v>
      </c>
      <c r="AJ295" t="s">
        <v>1306</v>
      </c>
    </row>
    <row r="296" spans="1:36" ht="43.5" outlineLevel="2" x14ac:dyDescent="0.35">
      <c r="A296" s="19" t="s">
        <v>551</v>
      </c>
      <c r="B296" s="19" t="s">
        <v>672</v>
      </c>
      <c r="C296" s="19" t="s">
        <v>673</v>
      </c>
      <c r="D296" s="19">
        <v>2018</v>
      </c>
      <c r="E296" s="19" t="s">
        <v>554</v>
      </c>
      <c r="F296" s="19">
        <v>80089232</v>
      </c>
      <c r="G296" s="19" t="s">
        <v>1570</v>
      </c>
      <c r="H296" s="19" t="s">
        <v>1571</v>
      </c>
      <c r="I296" s="19" t="s">
        <v>31</v>
      </c>
      <c r="J296" s="20">
        <v>1</v>
      </c>
      <c r="K296" s="21">
        <v>43419</v>
      </c>
      <c r="L296" s="21">
        <v>43423</v>
      </c>
      <c r="M296" s="21">
        <v>43473</v>
      </c>
      <c r="N296" s="24" t="s">
        <v>2448</v>
      </c>
      <c r="O296" s="19" t="s">
        <v>557</v>
      </c>
      <c r="P296" s="19" t="s">
        <v>609</v>
      </c>
      <c r="Q296" s="19" t="s">
        <v>655</v>
      </c>
      <c r="R296" s="19" t="s">
        <v>578</v>
      </c>
      <c r="S296" s="19" t="s">
        <v>1572</v>
      </c>
      <c r="T296" t="s">
        <v>51</v>
      </c>
      <c r="U296" s="22">
        <v>0</v>
      </c>
      <c r="V296" s="22">
        <v>0</v>
      </c>
      <c r="W296" s="22">
        <v>681.69</v>
      </c>
      <c r="X296" s="22">
        <v>0</v>
      </c>
      <c r="Y296" s="22">
        <v>68.900000000000006</v>
      </c>
      <c r="Z296" s="22">
        <v>0</v>
      </c>
      <c r="AA296" s="22">
        <v>0</v>
      </c>
      <c r="AB296" s="22">
        <v>0</v>
      </c>
      <c r="AC296" s="22">
        <v>0</v>
      </c>
      <c r="AD296" s="22">
        <v>0</v>
      </c>
      <c r="AE296" s="22">
        <v>750.59</v>
      </c>
      <c r="AF296" s="22">
        <f t="shared" si="4"/>
        <v>750.59</v>
      </c>
      <c r="AG296" s="22">
        <v>0</v>
      </c>
      <c r="AH296" s="22">
        <v>750.59</v>
      </c>
      <c r="AI296" t="s">
        <v>562</v>
      </c>
      <c r="AJ296" t="s">
        <v>1306</v>
      </c>
    </row>
    <row r="297" spans="1:36" ht="43.5" outlineLevel="2" x14ac:dyDescent="0.35">
      <c r="A297" s="19" t="s">
        <v>551</v>
      </c>
      <c r="B297" s="19" t="s">
        <v>1015</v>
      </c>
      <c r="C297" s="19" t="s">
        <v>1016</v>
      </c>
      <c r="D297" s="19">
        <v>2018</v>
      </c>
      <c r="E297" s="19" t="s">
        <v>554</v>
      </c>
      <c r="F297" s="19">
        <v>80089267</v>
      </c>
      <c r="G297" s="19" t="s">
        <v>1573</v>
      </c>
      <c r="H297" s="19" t="s">
        <v>1574</v>
      </c>
      <c r="I297" s="19" t="s">
        <v>31</v>
      </c>
      <c r="J297" s="20">
        <v>1</v>
      </c>
      <c r="K297" s="21">
        <v>43417</v>
      </c>
      <c r="L297" s="21">
        <v>43418</v>
      </c>
      <c r="M297" s="21">
        <v>43593</v>
      </c>
      <c r="N297" s="24" t="s">
        <v>2448</v>
      </c>
      <c r="O297" s="19" t="s">
        <v>557</v>
      </c>
      <c r="P297" s="19" t="s">
        <v>568</v>
      </c>
      <c r="Q297" s="19" t="s">
        <v>655</v>
      </c>
      <c r="R297" s="19" t="s">
        <v>578</v>
      </c>
      <c r="S297" s="19" t="s">
        <v>1575</v>
      </c>
      <c r="T297" t="s">
        <v>1021</v>
      </c>
      <c r="U297" s="22">
        <v>0</v>
      </c>
      <c r="V297" s="22">
        <v>0</v>
      </c>
      <c r="W297" s="22">
        <v>338.83</v>
      </c>
      <c r="X297" s="22">
        <v>0</v>
      </c>
      <c r="Y297" s="22">
        <v>100.85</v>
      </c>
      <c r="Z297" s="22">
        <v>0</v>
      </c>
      <c r="AA297" s="22">
        <v>0</v>
      </c>
      <c r="AB297" s="22">
        <v>0</v>
      </c>
      <c r="AC297" s="22">
        <v>0</v>
      </c>
      <c r="AD297" s="22">
        <v>0</v>
      </c>
      <c r="AE297" s="22">
        <v>439.68</v>
      </c>
      <c r="AF297" s="22">
        <f t="shared" si="4"/>
        <v>439.68</v>
      </c>
      <c r="AG297" s="22">
        <v>0</v>
      </c>
      <c r="AH297" s="22">
        <v>439.68</v>
      </c>
      <c r="AI297" t="s">
        <v>562</v>
      </c>
      <c r="AJ297" t="s">
        <v>1306</v>
      </c>
    </row>
    <row r="298" spans="1:36" ht="130.5" outlineLevel="2" x14ac:dyDescent="0.35">
      <c r="A298" s="19" t="s">
        <v>551</v>
      </c>
      <c r="B298" s="19" t="s">
        <v>1015</v>
      </c>
      <c r="C298" s="19" t="s">
        <v>1016</v>
      </c>
      <c r="D298" s="19">
        <v>2018</v>
      </c>
      <c r="E298" s="19" t="s">
        <v>554</v>
      </c>
      <c r="F298" s="19">
        <v>80089229</v>
      </c>
      <c r="G298" s="19" t="s">
        <v>1576</v>
      </c>
      <c r="H298" s="19" t="s">
        <v>1577</v>
      </c>
      <c r="I298" s="19" t="s">
        <v>31</v>
      </c>
      <c r="J298" s="20">
        <v>1</v>
      </c>
      <c r="K298" s="21">
        <v>43412</v>
      </c>
      <c r="L298" s="21">
        <v>43416</v>
      </c>
      <c r="M298" s="21">
        <v>43580</v>
      </c>
      <c r="N298" s="24" t="s">
        <v>2448</v>
      </c>
      <c r="O298" s="19" t="s">
        <v>557</v>
      </c>
      <c r="P298" s="19" t="s">
        <v>576</v>
      </c>
      <c r="Q298" s="19" t="s">
        <v>683</v>
      </c>
      <c r="R298" s="19" t="s">
        <v>560</v>
      </c>
      <c r="S298" s="19" t="s">
        <v>1578</v>
      </c>
      <c r="T298" t="s">
        <v>1021</v>
      </c>
      <c r="U298" s="22">
        <v>0</v>
      </c>
      <c r="V298" s="22">
        <v>0</v>
      </c>
      <c r="W298" s="22">
        <v>7784.15</v>
      </c>
      <c r="X298" s="22">
        <v>0</v>
      </c>
      <c r="Y298" s="22">
        <v>361.87</v>
      </c>
      <c r="Z298" s="22">
        <v>0</v>
      </c>
      <c r="AA298" s="22">
        <v>0</v>
      </c>
      <c r="AB298" s="22">
        <v>0</v>
      </c>
      <c r="AC298" s="22">
        <v>0</v>
      </c>
      <c r="AD298" s="22">
        <v>0</v>
      </c>
      <c r="AE298" s="22">
        <v>8146.02</v>
      </c>
      <c r="AF298" s="22">
        <f t="shared" si="4"/>
        <v>8146.02</v>
      </c>
      <c r="AG298" s="22">
        <v>0</v>
      </c>
      <c r="AH298" s="22">
        <v>8146.02</v>
      </c>
      <c r="AI298" t="s">
        <v>562</v>
      </c>
      <c r="AJ298" t="s">
        <v>1306</v>
      </c>
    </row>
    <row r="299" spans="1:36" ht="58" outlineLevel="2" x14ac:dyDescent="0.35">
      <c r="A299" s="19" t="s">
        <v>551</v>
      </c>
      <c r="B299" s="19" t="s">
        <v>1579</v>
      </c>
      <c r="C299" s="19" t="s">
        <v>749</v>
      </c>
      <c r="D299" s="19">
        <v>2018</v>
      </c>
      <c r="E299" s="19" t="s">
        <v>554</v>
      </c>
      <c r="F299" s="19">
        <v>80089264</v>
      </c>
      <c r="G299" s="19" t="s">
        <v>1580</v>
      </c>
      <c r="H299" s="19" t="s">
        <v>1581</v>
      </c>
      <c r="I299" s="19" t="s">
        <v>31</v>
      </c>
      <c r="J299" s="20">
        <v>1</v>
      </c>
      <c r="K299" s="21">
        <v>43412</v>
      </c>
      <c r="L299" s="21">
        <v>43419</v>
      </c>
      <c r="M299" s="21">
        <v>43476</v>
      </c>
      <c r="N299" s="24" t="s">
        <v>2448</v>
      </c>
      <c r="O299" s="19" t="s">
        <v>557</v>
      </c>
      <c r="P299" s="19" t="s">
        <v>558</v>
      </c>
      <c r="Q299" s="19" t="s">
        <v>590</v>
      </c>
      <c r="R299" s="19" t="s">
        <v>591</v>
      </c>
      <c r="S299" s="19" t="s">
        <v>1582</v>
      </c>
      <c r="T299" t="s">
        <v>79</v>
      </c>
      <c r="U299" s="22">
        <v>0</v>
      </c>
      <c r="V299" s="22">
        <v>0</v>
      </c>
      <c r="W299" s="22">
        <v>260.3</v>
      </c>
      <c r="X299" s="22">
        <v>0</v>
      </c>
      <c r="Y299" s="22">
        <v>87.94</v>
      </c>
      <c r="Z299" s="22">
        <v>0</v>
      </c>
      <c r="AA299" s="22">
        <v>0</v>
      </c>
      <c r="AB299" s="22">
        <v>0</v>
      </c>
      <c r="AC299" s="22">
        <v>0</v>
      </c>
      <c r="AD299" s="22">
        <v>0</v>
      </c>
      <c r="AE299" s="22">
        <v>348.24</v>
      </c>
      <c r="AF299" s="22">
        <f t="shared" si="4"/>
        <v>348.24</v>
      </c>
      <c r="AG299" s="22">
        <v>0</v>
      </c>
      <c r="AH299" s="22">
        <v>348.24</v>
      </c>
      <c r="AI299" t="s">
        <v>562</v>
      </c>
      <c r="AJ299" t="s">
        <v>1306</v>
      </c>
    </row>
    <row r="300" spans="1:36" ht="43.5" outlineLevel="2" x14ac:dyDescent="0.35">
      <c r="A300" s="19" t="s">
        <v>551</v>
      </c>
      <c r="B300" s="19" t="s">
        <v>1450</v>
      </c>
      <c r="C300" s="19" t="s">
        <v>1451</v>
      </c>
      <c r="D300" s="19">
        <v>2018</v>
      </c>
      <c r="E300" s="19" t="s">
        <v>554</v>
      </c>
      <c r="F300" s="19">
        <v>80089278</v>
      </c>
      <c r="G300" s="19" t="s">
        <v>1583</v>
      </c>
      <c r="H300" s="19" t="s">
        <v>1584</v>
      </c>
      <c r="I300" s="19" t="s">
        <v>31</v>
      </c>
      <c r="J300" s="20">
        <v>1</v>
      </c>
      <c r="K300" s="21">
        <v>43412</v>
      </c>
      <c r="L300" s="21">
        <v>43419</v>
      </c>
      <c r="M300" s="21">
        <v>44239</v>
      </c>
      <c r="N300" s="24" t="s">
        <v>2448</v>
      </c>
      <c r="O300" s="19" t="s">
        <v>557</v>
      </c>
      <c r="P300" s="19" t="s">
        <v>609</v>
      </c>
      <c r="Q300" s="19" t="s">
        <v>1359</v>
      </c>
      <c r="R300" s="19" t="s">
        <v>591</v>
      </c>
      <c r="S300" s="19" t="s">
        <v>1585</v>
      </c>
      <c r="T300" t="s">
        <v>314</v>
      </c>
      <c r="U300" s="22">
        <v>47237.96</v>
      </c>
      <c r="V300" s="22">
        <v>0</v>
      </c>
      <c r="W300" s="22">
        <v>17091.150000000001</v>
      </c>
      <c r="X300" s="22">
        <v>0</v>
      </c>
      <c r="Y300" s="22">
        <v>2326.11</v>
      </c>
      <c r="Z300" s="22">
        <v>0</v>
      </c>
      <c r="AA300" s="22">
        <v>0</v>
      </c>
      <c r="AB300" s="22">
        <v>0</v>
      </c>
      <c r="AC300" s="22">
        <v>0</v>
      </c>
      <c r="AD300" s="22">
        <v>0</v>
      </c>
      <c r="AE300" s="22">
        <v>66655.22</v>
      </c>
      <c r="AF300" s="22">
        <f t="shared" si="4"/>
        <v>66655.22</v>
      </c>
      <c r="AG300" s="22">
        <v>0</v>
      </c>
      <c r="AH300" s="22">
        <v>66655.22</v>
      </c>
      <c r="AI300" t="s">
        <v>562</v>
      </c>
      <c r="AJ300" t="s">
        <v>1306</v>
      </c>
    </row>
    <row r="301" spans="1:36" ht="101.5" outlineLevel="2" x14ac:dyDescent="0.35">
      <c r="A301" s="19" t="s">
        <v>551</v>
      </c>
      <c r="B301" s="19" t="s">
        <v>945</v>
      </c>
      <c r="C301" s="19" t="s">
        <v>946</v>
      </c>
      <c r="D301" s="19">
        <v>2018</v>
      </c>
      <c r="E301" s="19" t="s">
        <v>554</v>
      </c>
      <c r="F301" s="19">
        <v>80089458</v>
      </c>
      <c r="G301" s="19" t="s">
        <v>1586</v>
      </c>
      <c r="H301" s="19" t="s">
        <v>1587</v>
      </c>
      <c r="I301" s="19" t="s">
        <v>31</v>
      </c>
      <c r="J301" s="20">
        <v>1</v>
      </c>
      <c r="K301" s="21">
        <v>43411</v>
      </c>
      <c r="L301" s="21">
        <v>43467</v>
      </c>
      <c r="M301" s="21">
        <v>43504</v>
      </c>
      <c r="N301" s="24" t="s">
        <v>2448</v>
      </c>
      <c r="O301" s="19" t="s">
        <v>557</v>
      </c>
      <c r="P301" s="19" t="s">
        <v>665</v>
      </c>
      <c r="Q301" s="19" t="s">
        <v>590</v>
      </c>
      <c r="R301" s="19" t="s">
        <v>616</v>
      </c>
      <c r="S301" s="19" t="s">
        <v>1588</v>
      </c>
      <c r="T301" t="s">
        <v>51</v>
      </c>
      <c r="U301" s="22">
        <v>0</v>
      </c>
      <c r="V301" s="22">
        <v>0</v>
      </c>
      <c r="W301" s="22">
        <v>1063.21</v>
      </c>
      <c r="X301" s="22">
        <v>0</v>
      </c>
      <c r="Y301" s="22">
        <v>78.709999999999994</v>
      </c>
      <c r="Z301" s="22">
        <v>0</v>
      </c>
      <c r="AA301" s="22">
        <v>0</v>
      </c>
      <c r="AB301" s="22">
        <v>0</v>
      </c>
      <c r="AC301" s="22">
        <v>0</v>
      </c>
      <c r="AD301" s="22">
        <v>0</v>
      </c>
      <c r="AE301" s="22">
        <v>1141.92</v>
      </c>
      <c r="AF301" s="22">
        <f t="shared" si="4"/>
        <v>1141.92</v>
      </c>
      <c r="AG301" s="22">
        <v>0</v>
      </c>
      <c r="AH301" s="22">
        <v>1141.92</v>
      </c>
      <c r="AI301" t="s">
        <v>562</v>
      </c>
      <c r="AJ301" t="s">
        <v>1306</v>
      </c>
    </row>
    <row r="302" spans="1:36" ht="72.5" outlineLevel="2" x14ac:dyDescent="0.35">
      <c r="A302" s="19" t="s">
        <v>551</v>
      </c>
      <c r="B302" s="19" t="s">
        <v>636</v>
      </c>
      <c r="C302" s="19" t="s">
        <v>594</v>
      </c>
      <c r="D302" s="19">
        <v>2018</v>
      </c>
      <c r="E302" s="19" t="s">
        <v>554</v>
      </c>
      <c r="F302" s="19">
        <v>80089485</v>
      </c>
      <c r="G302" s="19" t="s">
        <v>1589</v>
      </c>
      <c r="H302" s="19" t="s">
        <v>1590</v>
      </c>
      <c r="I302" s="19" t="s">
        <v>31</v>
      </c>
      <c r="J302" s="20">
        <v>1</v>
      </c>
      <c r="K302" s="21">
        <v>43409</v>
      </c>
      <c r="L302" s="21">
        <v>43410</v>
      </c>
      <c r="M302" s="21">
        <v>43451</v>
      </c>
      <c r="N302" s="24" t="s">
        <v>2448</v>
      </c>
      <c r="O302" s="19" t="s">
        <v>557</v>
      </c>
      <c r="P302" s="19" t="s">
        <v>568</v>
      </c>
      <c r="Q302" s="19" t="s">
        <v>655</v>
      </c>
      <c r="R302" s="19" t="s">
        <v>578</v>
      </c>
      <c r="S302" s="19" t="s">
        <v>1591</v>
      </c>
      <c r="T302" t="s">
        <v>33</v>
      </c>
      <c r="U302" s="22">
        <v>0</v>
      </c>
      <c r="V302" s="22">
        <v>0</v>
      </c>
      <c r="W302" s="22">
        <v>1211.01</v>
      </c>
      <c r="X302" s="22">
        <v>0</v>
      </c>
      <c r="Y302" s="22">
        <v>9.5</v>
      </c>
      <c r="Z302" s="22">
        <v>0</v>
      </c>
      <c r="AA302" s="22">
        <v>0</v>
      </c>
      <c r="AB302" s="22">
        <v>0</v>
      </c>
      <c r="AC302" s="22">
        <v>0</v>
      </c>
      <c r="AD302" s="22">
        <v>0</v>
      </c>
      <c r="AE302" s="22">
        <v>1220.51</v>
      </c>
      <c r="AF302" s="22">
        <f t="shared" si="4"/>
        <v>1220.51</v>
      </c>
      <c r="AG302" s="22">
        <v>0</v>
      </c>
      <c r="AH302" s="22">
        <v>1220.51</v>
      </c>
      <c r="AI302" t="s">
        <v>562</v>
      </c>
      <c r="AJ302" t="s">
        <v>1306</v>
      </c>
    </row>
    <row r="303" spans="1:36" ht="43.5" outlineLevel="2" x14ac:dyDescent="0.35">
      <c r="A303" s="19" t="s">
        <v>551</v>
      </c>
      <c r="B303" s="19" t="s">
        <v>1258</v>
      </c>
      <c r="C303" s="19" t="s">
        <v>1259</v>
      </c>
      <c r="D303" s="19">
        <v>2018</v>
      </c>
      <c r="E303" s="19" t="s">
        <v>554</v>
      </c>
      <c r="F303" s="19">
        <v>80089224</v>
      </c>
      <c r="G303" s="19" t="s">
        <v>1592</v>
      </c>
      <c r="H303" s="19" t="s">
        <v>1593</v>
      </c>
      <c r="I303" s="19" t="s">
        <v>31</v>
      </c>
      <c r="J303" s="20">
        <v>1</v>
      </c>
      <c r="K303" s="21">
        <v>43406</v>
      </c>
      <c r="L303" s="21">
        <v>43409</v>
      </c>
      <c r="M303" s="21">
        <v>43655</v>
      </c>
      <c r="N303" s="24" t="s">
        <v>2448</v>
      </c>
      <c r="O303" s="19" t="s">
        <v>557</v>
      </c>
      <c r="P303" s="19" t="s">
        <v>665</v>
      </c>
      <c r="Q303" s="19" t="s">
        <v>597</v>
      </c>
      <c r="R303" s="19" t="s">
        <v>570</v>
      </c>
      <c r="S303" s="19" t="s">
        <v>1594</v>
      </c>
      <c r="T303" t="s">
        <v>69</v>
      </c>
      <c r="U303" s="22">
        <v>0</v>
      </c>
      <c r="V303" s="22">
        <v>0</v>
      </c>
      <c r="W303" s="22">
        <v>397.56</v>
      </c>
      <c r="X303" s="22">
        <v>0</v>
      </c>
      <c r="Y303" s="22">
        <v>32.29</v>
      </c>
      <c r="Z303" s="22">
        <v>0</v>
      </c>
      <c r="AA303" s="22">
        <v>0</v>
      </c>
      <c r="AB303" s="22">
        <v>-7.39</v>
      </c>
      <c r="AC303" s="22">
        <v>0</v>
      </c>
      <c r="AD303" s="22">
        <v>0</v>
      </c>
      <c r="AE303" s="22">
        <v>429.85</v>
      </c>
      <c r="AF303" s="22">
        <f t="shared" si="4"/>
        <v>422.46000000000004</v>
      </c>
      <c r="AG303" s="22">
        <v>0</v>
      </c>
      <c r="AH303" s="22">
        <v>422.46</v>
      </c>
      <c r="AI303" t="s">
        <v>562</v>
      </c>
      <c r="AJ303" t="s">
        <v>1306</v>
      </c>
    </row>
    <row r="304" spans="1:36" ht="43.5" outlineLevel="2" x14ac:dyDescent="0.35">
      <c r="A304" s="19" t="s">
        <v>551</v>
      </c>
      <c r="B304" s="19" t="s">
        <v>798</v>
      </c>
      <c r="C304" s="19" t="s">
        <v>673</v>
      </c>
      <c r="D304" s="19">
        <v>2018</v>
      </c>
      <c r="E304" s="19" t="s">
        <v>554</v>
      </c>
      <c r="F304" s="19">
        <v>80089503</v>
      </c>
      <c r="G304" s="19" t="s">
        <v>1595</v>
      </c>
      <c r="H304" s="19" t="s">
        <v>1596</v>
      </c>
      <c r="I304" s="19" t="s">
        <v>31</v>
      </c>
      <c r="J304" s="20">
        <v>1</v>
      </c>
      <c r="K304" s="21">
        <v>43404</v>
      </c>
      <c r="L304" s="21">
        <v>43410</v>
      </c>
      <c r="M304" s="21">
        <v>43447</v>
      </c>
      <c r="N304" s="24" t="s">
        <v>2448</v>
      </c>
      <c r="O304" s="19" t="s">
        <v>557</v>
      </c>
      <c r="P304" s="19" t="s">
        <v>568</v>
      </c>
      <c r="Q304" s="19" t="s">
        <v>655</v>
      </c>
      <c r="R304" s="19" t="s">
        <v>578</v>
      </c>
      <c r="S304" s="19" t="s">
        <v>1597</v>
      </c>
      <c r="T304" t="s">
        <v>51</v>
      </c>
      <c r="U304" s="22">
        <v>0</v>
      </c>
      <c r="V304" s="22">
        <v>0</v>
      </c>
      <c r="W304" s="22">
        <v>896</v>
      </c>
      <c r="X304" s="22">
        <v>0</v>
      </c>
      <c r="Y304" s="22">
        <v>60.7</v>
      </c>
      <c r="Z304" s="22">
        <v>0</v>
      </c>
      <c r="AA304" s="22">
        <v>0</v>
      </c>
      <c r="AB304" s="22">
        <v>0</v>
      </c>
      <c r="AC304" s="22">
        <v>0</v>
      </c>
      <c r="AD304" s="22">
        <v>0</v>
      </c>
      <c r="AE304" s="22">
        <v>956.7</v>
      </c>
      <c r="AF304" s="22">
        <f t="shared" si="4"/>
        <v>956.7</v>
      </c>
      <c r="AG304" s="22">
        <v>0</v>
      </c>
      <c r="AH304" s="22">
        <v>956.7</v>
      </c>
      <c r="AI304" t="s">
        <v>562</v>
      </c>
      <c r="AJ304" t="s">
        <v>1306</v>
      </c>
    </row>
    <row r="305" spans="1:36" ht="101.5" outlineLevel="2" x14ac:dyDescent="0.35">
      <c r="A305" s="19" t="s">
        <v>551</v>
      </c>
      <c r="B305" s="19" t="s">
        <v>636</v>
      </c>
      <c r="C305" s="19" t="s">
        <v>594</v>
      </c>
      <c r="D305" s="19">
        <v>2018</v>
      </c>
      <c r="E305" s="19" t="s">
        <v>554</v>
      </c>
      <c r="F305" s="19">
        <v>80089473</v>
      </c>
      <c r="G305" s="19" t="s">
        <v>1598</v>
      </c>
      <c r="H305" s="19" t="s">
        <v>1599</v>
      </c>
      <c r="I305" s="19" t="s">
        <v>31</v>
      </c>
      <c r="J305" s="20">
        <v>1</v>
      </c>
      <c r="K305" s="21">
        <v>43399</v>
      </c>
      <c r="L305" s="21">
        <v>43402</v>
      </c>
      <c r="M305" s="21">
        <v>43969</v>
      </c>
      <c r="N305" s="24" t="s">
        <v>2448</v>
      </c>
      <c r="O305" s="19" t="s">
        <v>557</v>
      </c>
      <c r="P305" s="19" t="s">
        <v>609</v>
      </c>
      <c r="Q305" s="19" t="s">
        <v>1600</v>
      </c>
      <c r="R305" s="19" t="s">
        <v>591</v>
      </c>
      <c r="S305" s="19" t="s">
        <v>1601</v>
      </c>
      <c r="T305" t="s">
        <v>33</v>
      </c>
      <c r="U305" s="22">
        <v>0</v>
      </c>
      <c r="V305" s="22">
        <v>0</v>
      </c>
      <c r="W305" s="22">
        <v>120.91</v>
      </c>
      <c r="X305" s="22">
        <v>0</v>
      </c>
      <c r="Y305" s="22">
        <v>19.8</v>
      </c>
      <c r="Z305" s="22">
        <v>0</v>
      </c>
      <c r="AA305" s="22">
        <v>0</v>
      </c>
      <c r="AB305" s="22">
        <v>0</v>
      </c>
      <c r="AC305" s="22">
        <v>0</v>
      </c>
      <c r="AD305" s="22">
        <v>0</v>
      </c>
      <c r="AE305" s="22">
        <v>140.71</v>
      </c>
      <c r="AF305" s="22">
        <f t="shared" si="4"/>
        <v>140.71</v>
      </c>
      <c r="AG305" s="22">
        <v>0</v>
      </c>
      <c r="AH305" s="22">
        <v>140.71</v>
      </c>
      <c r="AI305" t="s">
        <v>562</v>
      </c>
      <c r="AJ305" t="s">
        <v>1306</v>
      </c>
    </row>
    <row r="306" spans="1:36" ht="29" outlineLevel="2" x14ac:dyDescent="0.35">
      <c r="A306" s="19" t="s">
        <v>551</v>
      </c>
      <c r="B306" s="19" t="s">
        <v>672</v>
      </c>
      <c r="C306" s="19" t="s">
        <v>673</v>
      </c>
      <c r="D306" s="19">
        <v>2018</v>
      </c>
      <c r="E306" s="19" t="s">
        <v>554</v>
      </c>
      <c r="F306" s="19">
        <v>80088818</v>
      </c>
      <c r="G306" s="19" t="s">
        <v>1602</v>
      </c>
      <c r="H306" s="19" t="s">
        <v>1603</v>
      </c>
      <c r="I306" s="19" t="s">
        <v>31</v>
      </c>
      <c r="J306" s="20">
        <v>1</v>
      </c>
      <c r="K306" s="21">
        <v>43391</v>
      </c>
      <c r="L306" s="21">
        <v>43391</v>
      </c>
      <c r="M306" s="21">
        <v>45533</v>
      </c>
      <c r="N306" s="24" t="s">
        <v>2448</v>
      </c>
      <c r="O306" s="19" t="s">
        <v>603</v>
      </c>
      <c r="P306" s="19" t="s">
        <v>576</v>
      </c>
      <c r="Q306" s="19" t="s">
        <v>634</v>
      </c>
      <c r="R306" s="19" t="s">
        <v>578</v>
      </c>
      <c r="S306" s="19" t="s">
        <v>1604</v>
      </c>
      <c r="T306" t="s">
        <v>51</v>
      </c>
      <c r="U306" s="22">
        <v>0</v>
      </c>
      <c r="V306" s="22">
        <v>0</v>
      </c>
      <c r="W306" s="22">
        <v>533.34</v>
      </c>
      <c r="X306" s="22">
        <v>0</v>
      </c>
      <c r="Y306" s="22">
        <v>893.08</v>
      </c>
      <c r="Z306" s="22">
        <v>0</v>
      </c>
      <c r="AA306" s="22">
        <v>0</v>
      </c>
      <c r="AB306" s="22">
        <v>0</v>
      </c>
      <c r="AC306" s="22">
        <v>0</v>
      </c>
      <c r="AD306" s="22">
        <v>0</v>
      </c>
      <c r="AE306" s="22">
        <v>1426.42</v>
      </c>
      <c r="AF306" s="22">
        <f t="shared" si="4"/>
        <v>1426.42</v>
      </c>
      <c r="AG306" s="22">
        <v>0</v>
      </c>
      <c r="AH306" s="22">
        <v>1426.42</v>
      </c>
      <c r="AI306" t="s">
        <v>562</v>
      </c>
      <c r="AJ306" t="s">
        <v>1306</v>
      </c>
    </row>
    <row r="307" spans="1:36" ht="43.5" outlineLevel="2" x14ac:dyDescent="0.35">
      <c r="A307" s="19" t="s">
        <v>551</v>
      </c>
      <c r="B307" s="19" t="s">
        <v>552</v>
      </c>
      <c r="C307" s="19" t="s">
        <v>553</v>
      </c>
      <c r="D307" s="19">
        <v>2018</v>
      </c>
      <c r="E307" s="19" t="s">
        <v>554</v>
      </c>
      <c r="F307" s="19">
        <v>80089221</v>
      </c>
      <c r="G307" s="19" t="s">
        <v>1605</v>
      </c>
      <c r="H307" s="19" t="s">
        <v>1606</v>
      </c>
      <c r="I307" s="19" t="s">
        <v>31</v>
      </c>
      <c r="J307" s="20">
        <v>1</v>
      </c>
      <c r="K307" s="21">
        <v>43391</v>
      </c>
      <c r="L307" s="21">
        <v>43392</v>
      </c>
      <c r="M307" s="21">
        <v>44474</v>
      </c>
      <c r="N307" s="24" t="s">
        <v>2448</v>
      </c>
      <c r="O307" s="19" t="s">
        <v>557</v>
      </c>
      <c r="P307" s="19" t="s">
        <v>609</v>
      </c>
      <c r="Q307" s="19" t="s">
        <v>590</v>
      </c>
      <c r="R307" s="19" t="s">
        <v>560</v>
      </c>
      <c r="S307" s="19" t="s">
        <v>1607</v>
      </c>
      <c r="T307" t="s">
        <v>85</v>
      </c>
      <c r="U307" s="22">
        <v>125487.91</v>
      </c>
      <c r="V307" s="22">
        <v>0</v>
      </c>
      <c r="W307" s="22">
        <v>73129.399999999994</v>
      </c>
      <c r="X307" s="22">
        <v>0</v>
      </c>
      <c r="Y307" s="22">
        <v>16293.3</v>
      </c>
      <c r="Z307" s="22">
        <v>0</v>
      </c>
      <c r="AA307" s="22">
        <v>0</v>
      </c>
      <c r="AB307" s="22">
        <v>-460.95</v>
      </c>
      <c r="AC307" s="22">
        <v>0</v>
      </c>
      <c r="AD307" s="22">
        <v>0</v>
      </c>
      <c r="AE307" s="22">
        <v>214910.61</v>
      </c>
      <c r="AF307" s="22">
        <f t="shared" si="4"/>
        <v>214449.65999999997</v>
      </c>
      <c r="AG307" s="22">
        <v>0</v>
      </c>
      <c r="AH307" s="22">
        <v>214449.66</v>
      </c>
      <c r="AI307" t="s">
        <v>562</v>
      </c>
      <c r="AJ307" t="s">
        <v>1306</v>
      </c>
    </row>
    <row r="308" spans="1:36" ht="43.5" outlineLevel="2" x14ac:dyDescent="0.35">
      <c r="A308" s="19" t="s">
        <v>551</v>
      </c>
      <c r="B308" s="19" t="s">
        <v>672</v>
      </c>
      <c r="C308" s="19" t="s">
        <v>673</v>
      </c>
      <c r="D308" s="19">
        <v>2018</v>
      </c>
      <c r="E308" s="19" t="s">
        <v>554</v>
      </c>
      <c r="F308" s="19">
        <v>80089247</v>
      </c>
      <c r="G308" s="19" t="s">
        <v>1608</v>
      </c>
      <c r="H308" s="19" t="s">
        <v>1609</v>
      </c>
      <c r="I308" s="19" t="s">
        <v>31</v>
      </c>
      <c r="J308" s="20">
        <v>1</v>
      </c>
      <c r="K308" s="21">
        <v>43391</v>
      </c>
      <c r="L308" s="21">
        <v>43392</v>
      </c>
      <c r="M308" s="21">
        <v>43521</v>
      </c>
      <c r="N308" s="24" t="s">
        <v>2448</v>
      </c>
      <c r="O308" s="19" t="s">
        <v>557</v>
      </c>
      <c r="P308" s="19" t="s">
        <v>609</v>
      </c>
      <c r="Q308" s="19" t="s">
        <v>1019</v>
      </c>
      <c r="R308" s="19" t="s">
        <v>616</v>
      </c>
      <c r="S308" s="19" t="s">
        <v>1610</v>
      </c>
      <c r="T308" t="s">
        <v>51</v>
      </c>
      <c r="U308" s="22">
        <v>1323</v>
      </c>
      <c r="V308" s="22">
        <v>0</v>
      </c>
      <c r="W308" s="22">
        <v>1684.49</v>
      </c>
      <c r="X308" s="22">
        <v>0</v>
      </c>
      <c r="Y308" s="22">
        <v>550.41999999999996</v>
      </c>
      <c r="Z308" s="22">
        <v>0</v>
      </c>
      <c r="AA308" s="22">
        <v>0</v>
      </c>
      <c r="AB308" s="22">
        <v>0</v>
      </c>
      <c r="AC308" s="22">
        <v>0</v>
      </c>
      <c r="AD308" s="22">
        <v>0</v>
      </c>
      <c r="AE308" s="22">
        <v>3557.91</v>
      </c>
      <c r="AF308" s="22">
        <f t="shared" si="4"/>
        <v>3557.91</v>
      </c>
      <c r="AG308" s="22">
        <v>0</v>
      </c>
      <c r="AH308" s="22">
        <v>3557.91</v>
      </c>
      <c r="AI308" t="s">
        <v>562</v>
      </c>
    </row>
    <row r="309" spans="1:36" ht="43.5" outlineLevel="2" x14ac:dyDescent="0.35">
      <c r="A309" s="19" t="s">
        <v>551</v>
      </c>
      <c r="B309" s="19" t="s">
        <v>986</v>
      </c>
      <c r="C309" s="19" t="s">
        <v>553</v>
      </c>
      <c r="D309" s="19">
        <v>2018</v>
      </c>
      <c r="E309" s="19" t="s">
        <v>554</v>
      </c>
      <c r="F309" s="19">
        <v>80091354</v>
      </c>
      <c r="G309" s="19" t="s">
        <v>1611</v>
      </c>
      <c r="H309" s="19" t="s">
        <v>1612</v>
      </c>
      <c r="I309" s="19" t="s">
        <v>31</v>
      </c>
      <c r="J309" s="20">
        <v>1</v>
      </c>
      <c r="K309" s="21">
        <v>43391</v>
      </c>
      <c r="L309" s="21">
        <v>43801</v>
      </c>
      <c r="M309" s="21">
        <v>44349</v>
      </c>
      <c r="N309" s="24" t="s">
        <v>2448</v>
      </c>
      <c r="O309" s="19" t="s">
        <v>557</v>
      </c>
      <c r="P309" s="19" t="s">
        <v>665</v>
      </c>
      <c r="Q309" s="19" t="s">
        <v>569</v>
      </c>
      <c r="R309" s="19" t="s">
        <v>1243</v>
      </c>
      <c r="S309" s="19" t="s">
        <v>1613</v>
      </c>
      <c r="T309" t="s">
        <v>169</v>
      </c>
      <c r="U309" s="22">
        <v>55000</v>
      </c>
      <c r="V309" s="22">
        <v>0</v>
      </c>
      <c r="W309" s="22">
        <v>0</v>
      </c>
      <c r="X309" s="22">
        <v>0</v>
      </c>
      <c r="Y309" s="22">
        <v>26779.05</v>
      </c>
      <c r="Z309" s="22">
        <v>0</v>
      </c>
      <c r="AA309" s="22">
        <v>0</v>
      </c>
      <c r="AB309" s="22">
        <v>0</v>
      </c>
      <c r="AC309" s="22">
        <v>0</v>
      </c>
      <c r="AD309" s="22">
        <v>0</v>
      </c>
      <c r="AE309" s="22">
        <v>81779.05</v>
      </c>
      <c r="AF309" s="22">
        <f t="shared" si="4"/>
        <v>81779.05</v>
      </c>
      <c r="AG309" s="22">
        <v>0</v>
      </c>
      <c r="AH309" s="22">
        <v>81779.05</v>
      </c>
      <c r="AI309" t="s">
        <v>562</v>
      </c>
      <c r="AJ309" t="s">
        <v>1306</v>
      </c>
    </row>
    <row r="310" spans="1:36" ht="29" outlineLevel="2" x14ac:dyDescent="0.35">
      <c r="A310" s="19" t="s">
        <v>551</v>
      </c>
      <c r="B310" s="19" t="s">
        <v>672</v>
      </c>
      <c r="C310" s="19" t="s">
        <v>673</v>
      </c>
      <c r="D310" s="19">
        <v>2018</v>
      </c>
      <c r="E310" s="19" t="s">
        <v>554</v>
      </c>
      <c r="F310" s="19">
        <v>80088812</v>
      </c>
      <c r="G310" s="19" t="s">
        <v>1614</v>
      </c>
      <c r="H310" s="19" t="s">
        <v>1615</v>
      </c>
      <c r="I310" s="19" t="s">
        <v>31</v>
      </c>
      <c r="J310" s="20">
        <v>1</v>
      </c>
      <c r="K310" s="21">
        <v>43389</v>
      </c>
      <c r="L310" s="21">
        <v>43392</v>
      </c>
      <c r="M310" s="21">
        <v>43423</v>
      </c>
      <c r="N310" s="24" t="s">
        <v>2448</v>
      </c>
      <c r="O310" s="19" t="s">
        <v>557</v>
      </c>
      <c r="P310" s="19" t="s">
        <v>568</v>
      </c>
      <c r="Q310" s="19" t="s">
        <v>610</v>
      </c>
      <c r="R310" s="19" t="s">
        <v>670</v>
      </c>
      <c r="S310" s="19" t="s">
        <v>1616</v>
      </c>
      <c r="T310" t="s">
        <v>51</v>
      </c>
      <c r="U310" s="22">
        <v>0</v>
      </c>
      <c r="V310" s="22">
        <v>0</v>
      </c>
      <c r="W310" s="22">
        <v>505.1</v>
      </c>
      <c r="X310" s="22">
        <v>0</v>
      </c>
      <c r="Y310" s="22">
        <v>47.06</v>
      </c>
      <c r="Z310" s="22">
        <v>0</v>
      </c>
      <c r="AA310" s="22">
        <v>0</v>
      </c>
      <c r="AB310" s="22">
        <v>0</v>
      </c>
      <c r="AC310" s="22">
        <v>0</v>
      </c>
      <c r="AD310" s="22">
        <v>0</v>
      </c>
      <c r="AE310" s="22">
        <v>552.16</v>
      </c>
      <c r="AF310" s="22">
        <f t="shared" si="4"/>
        <v>552.16</v>
      </c>
      <c r="AG310" s="22">
        <v>0</v>
      </c>
      <c r="AH310" s="22">
        <v>552.16</v>
      </c>
      <c r="AI310" t="s">
        <v>562</v>
      </c>
      <c r="AJ310" t="s">
        <v>1306</v>
      </c>
    </row>
    <row r="311" spans="1:36" ht="72.5" outlineLevel="2" x14ac:dyDescent="0.35">
      <c r="A311" s="19" t="s">
        <v>551</v>
      </c>
      <c r="B311" s="19" t="s">
        <v>636</v>
      </c>
      <c r="C311" s="19" t="s">
        <v>594</v>
      </c>
      <c r="D311" s="19">
        <v>2018</v>
      </c>
      <c r="E311" s="19" t="s">
        <v>554</v>
      </c>
      <c r="F311" s="19">
        <v>80089239</v>
      </c>
      <c r="G311" s="19" t="s">
        <v>1617</v>
      </c>
      <c r="H311" s="19" t="s">
        <v>1618</v>
      </c>
      <c r="I311" s="19" t="s">
        <v>31</v>
      </c>
      <c r="J311" s="20">
        <v>1</v>
      </c>
      <c r="K311" s="21">
        <v>43383</v>
      </c>
      <c r="L311" s="21">
        <v>43391</v>
      </c>
      <c r="M311" s="21">
        <v>43482</v>
      </c>
      <c r="N311" s="24" t="s">
        <v>2448</v>
      </c>
      <c r="O311" s="19" t="s">
        <v>557</v>
      </c>
      <c r="P311" s="19" t="s">
        <v>609</v>
      </c>
      <c r="Q311" s="19" t="s">
        <v>655</v>
      </c>
      <c r="R311" s="19" t="s">
        <v>616</v>
      </c>
      <c r="S311" s="19" t="s">
        <v>1619</v>
      </c>
      <c r="T311" t="s">
        <v>33</v>
      </c>
      <c r="U311" s="22">
        <v>0</v>
      </c>
      <c r="V311" s="22">
        <v>0</v>
      </c>
      <c r="W311" s="22">
        <v>301</v>
      </c>
      <c r="X311" s="22">
        <v>0</v>
      </c>
      <c r="Y311" s="22">
        <v>46.2</v>
      </c>
      <c r="Z311" s="22">
        <v>0</v>
      </c>
      <c r="AA311" s="22">
        <v>0</v>
      </c>
      <c r="AB311" s="22">
        <v>0</v>
      </c>
      <c r="AC311" s="22">
        <v>0</v>
      </c>
      <c r="AD311" s="22">
        <v>0</v>
      </c>
      <c r="AE311" s="22">
        <v>347.2</v>
      </c>
      <c r="AF311" s="22">
        <f t="shared" si="4"/>
        <v>347.2</v>
      </c>
      <c r="AG311" s="22">
        <v>0</v>
      </c>
      <c r="AH311" s="22">
        <v>347.2</v>
      </c>
      <c r="AI311" t="s">
        <v>562</v>
      </c>
      <c r="AJ311" t="s">
        <v>1306</v>
      </c>
    </row>
    <row r="312" spans="1:36" ht="43.5" outlineLevel="2" x14ac:dyDescent="0.35">
      <c r="A312" s="19" t="s">
        <v>551</v>
      </c>
      <c r="B312" s="19" t="s">
        <v>945</v>
      </c>
      <c r="C312" s="19" t="s">
        <v>946</v>
      </c>
      <c r="D312" s="19">
        <v>2018</v>
      </c>
      <c r="E312" s="19" t="s">
        <v>554</v>
      </c>
      <c r="F312" s="19">
        <v>80088803</v>
      </c>
      <c r="G312" s="19" t="s">
        <v>1620</v>
      </c>
      <c r="H312" s="19" t="s">
        <v>1621</v>
      </c>
      <c r="I312" s="19" t="s">
        <v>31</v>
      </c>
      <c r="J312" s="20">
        <v>1</v>
      </c>
      <c r="K312" s="21">
        <v>43382</v>
      </c>
      <c r="L312" s="21">
        <v>43383</v>
      </c>
      <c r="M312" s="21">
        <v>43515</v>
      </c>
      <c r="N312" s="24" t="s">
        <v>2448</v>
      </c>
      <c r="O312" s="19" t="s">
        <v>557</v>
      </c>
      <c r="Q312" s="19" t="s">
        <v>661</v>
      </c>
      <c r="R312" s="19" t="s">
        <v>591</v>
      </c>
      <c r="S312" s="19" t="s">
        <v>1622</v>
      </c>
      <c r="T312" t="s">
        <v>1389</v>
      </c>
      <c r="U312" s="22">
        <v>0</v>
      </c>
      <c r="V312" s="22">
        <v>0</v>
      </c>
      <c r="W312" s="22">
        <v>994.28</v>
      </c>
      <c r="X312" s="22">
        <v>0</v>
      </c>
      <c r="Y312" s="22">
        <v>67.23</v>
      </c>
      <c r="Z312" s="22">
        <v>0</v>
      </c>
      <c r="AA312" s="22">
        <v>0</v>
      </c>
      <c r="AB312" s="22">
        <v>0</v>
      </c>
      <c r="AC312" s="22">
        <v>0</v>
      </c>
      <c r="AD312" s="22">
        <v>0</v>
      </c>
      <c r="AE312" s="22">
        <v>1061.51</v>
      </c>
      <c r="AF312" s="22">
        <f t="shared" si="4"/>
        <v>1061.51</v>
      </c>
      <c r="AG312" s="22">
        <v>0</v>
      </c>
      <c r="AH312" s="22">
        <v>1061.51</v>
      </c>
      <c r="AI312" t="s">
        <v>562</v>
      </c>
      <c r="AJ312" t="s">
        <v>1306</v>
      </c>
    </row>
    <row r="313" spans="1:36" ht="43.5" outlineLevel="2" x14ac:dyDescent="0.35">
      <c r="A313" s="19" t="s">
        <v>551</v>
      </c>
      <c r="B313" s="19" t="s">
        <v>1623</v>
      </c>
      <c r="C313" s="19" t="s">
        <v>765</v>
      </c>
      <c r="D313" s="19">
        <v>2018</v>
      </c>
      <c r="E313" s="19" t="s">
        <v>554</v>
      </c>
      <c r="F313" s="19">
        <v>80089225</v>
      </c>
      <c r="G313" s="19" t="s">
        <v>1624</v>
      </c>
      <c r="H313" s="19" t="s">
        <v>1625</v>
      </c>
      <c r="I313" s="19" t="s">
        <v>31</v>
      </c>
      <c r="J313" s="20">
        <v>1</v>
      </c>
      <c r="K313" s="21">
        <v>43382</v>
      </c>
      <c r="L313" s="21">
        <v>43390</v>
      </c>
      <c r="M313" s="21">
        <v>43609</v>
      </c>
      <c r="N313" s="24" t="s">
        <v>2448</v>
      </c>
      <c r="O313" s="19" t="s">
        <v>557</v>
      </c>
      <c r="P313" s="19" t="s">
        <v>609</v>
      </c>
      <c r="Q313" s="19" t="s">
        <v>590</v>
      </c>
      <c r="R313" s="19" t="s">
        <v>616</v>
      </c>
      <c r="S313" s="19" t="s">
        <v>1626</v>
      </c>
      <c r="T313" t="s">
        <v>121</v>
      </c>
      <c r="U313" s="22">
        <v>0</v>
      </c>
      <c r="V313" s="22">
        <v>0</v>
      </c>
      <c r="W313" s="22">
        <v>155.69</v>
      </c>
      <c r="X313" s="22">
        <v>0</v>
      </c>
      <c r="Y313" s="22">
        <v>11.8</v>
      </c>
      <c r="Z313" s="22">
        <v>0</v>
      </c>
      <c r="AA313" s="22">
        <v>0</v>
      </c>
      <c r="AB313" s="22">
        <v>0</v>
      </c>
      <c r="AC313" s="22">
        <v>0</v>
      </c>
      <c r="AD313" s="22">
        <v>0</v>
      </c>
      <c r="AE313" s="22">
        <v>167.49</v>
      </c>
      <c r="AF313" s="22">
        <f t="shared" si="4"/>
        <v>167.49</v>
      </c>
      <c r="AG313" s="22">
        <v>0</v>
      </c>
      <c r="AH313" s="22">
        <v>167.49</v>
      </c>
      <c r="AI313" t="s">
        <v>562</v>
      </c>
      <c r="AJ313" t="s">
        <v>1306</v>
      </c>
    </row>
    <row r="314" spans="1:36" ht="58" outlineLevel="2" x14ac:dyDescent="0.35">
      <c r="A314" s="19" t="s">
        <v>551</v>
      </c>
      <c r="B314" s="19" t="s">
        <v>986</v>
      </c>
      <c r="C314" s="19" t="s">
        <v>553</v>
      </c>
      <c r="D314" s="19">
        <v>2018</v>
      </c>
      <c r="E314" s="19" t="s">
        <v>554</v>
      </c>
      <c r="F314" s="19">
        <v>80089228</v>
      </c>
      <c r="G314" s="19" t="s">
        <v>1627</v>
      </c>
      <c r="H314" s="19" t="s">
        <v>1628</v>
      </c>
      <c r="I314" s="19" t="s">
        <v>31</v>
      </c>
      <c r="J314" s="20">
        <v>1</v>
      </c>
      <c r="K314" s="21">
        <v>43378</v>
      </c>
      <c r="L314" s="21">
        <v>43378</v>
      </c>
      <c r="M314" s="21">
        <v>43993</v>
      </c>
      <c r="N314" s="24" t="s">
        <v>2448</v>
      </c>
      <c r="O314" s="19" t="s">
        <v>603</v>
      </c>
      <c r="P314" s="19" t="s">
        <v>568</v>
      </c>
      <c r="Q314" s="19" t="s">
        <v>655</v>
      </c>
      <c r="R314" s="19" t="s">
        <v>616</v>
      </c>
      <c r="S314" s="19" t="s">
        <v>1629</v>
      </c>
      <c r="T314" t="s">
        <v>169</v>
      </c>
      <c r="U314" s="22">
        <v>0</v>
      </c>
      <c r="V314" s="22">
        <v>0</v>
      </c>
      <c r="W314" s="22">
        <v>132.56</v>
      </c>
      <c r="X314" s="22">
        <v>0</v>
      </c>
      <c r="Y314" s="22">
        <v>48.51</v>
      </c>
      <c r="Z314" s="22">
        <v>0</v>
      </c>
      <c r="AA314" s="22">
        <v>0</v>
      </c>
      <c r="AB314" s="22">
        <v>0</v>
      </c>
      <c r="AC314" s="22">
        <v>0</v>
      </c>
      <c r="AD314" s="22">
        <v>0</v>
      </c>
      <c r="AE314" s="22">
        <v>181.07</v>
      </c>
      <c r="AF314" s="22">
        <f t="shared" si="4"/>
        <v>181.07</v>
      </c>
      <c r="AG314" s="22">
        <v>0</v>
      </c>
      <c r="AH314" s="22">
        <v>181.07</v>
      </c>
      <c r="AI314" t="s">
        <v>562</v>
      </c>
      <c r="AJ314" t="s">
        <v>1306</v>
      </c>
    </row>
    <row r="315" spans="1:36" ht="43.5" outlineLevel="2" x14ac:dyDescent="0.35">
      <c r="A315" s="19" t="s">
        <v>551</v>
      </c>
      <c r="B315" s="19" t="s">
        <v>1623</v>
      </c>
      <c r="C315" s="19" t="s">
        <v>765</v>
      </c>
      <c r="D315" s="19">
        <v>2018</v>
      </c>
      <c r="E315" s="19" t="s">
        <v>554</v>
      </c>
      <c r="F315" s="19">
        <v>80088829</v>
      </c>
      <c r="G315" s="19" t="s">
        <v>1630</v>
      </c>
      <c r="H315" s="19" t="s">
        <v>1631</v>
      </c>
      <c r="I315" s="19" t="s">
        <v>31</v>
      </c>
      <c r="J315" s="20">
        <v>1</v>
      </c>
      <c r="K315" s="21">
        <v>43371</v>
      </c>
      <c r="L315" s="21">
        <v>43390</v>
      </c>
      <c r="M315" s="21">
        <v>43454</v>
      </c>
      <c r="N315" s="24" t="s">
        <v>2448</v>
      </c>
      <c r="O315" s="19" t="s">
        <v>557</v>
      </c>
      <c r="P315" s="19" t="s">
        <v>568</v>
      </c>
      <c r="Q315" s="19" t="s">
        <v>625</v>
      </c>
      <c r="R315" s="19" t="s">
        <v>578</v>
      </c>
      <c r="S315" s="19" t="s">
        <v>1632</v>
      </c>
      <c r="T315" t="s">
        <v>121</v>
      </c>
      <c r="U315" s="22">
        <v>0</v>
      </c>
      <c r="V315" s="22">
        <v>0</v>
      </c>
      <c r="W315" s="22">
        <v>186.62</v>
      </c>
      <c r="X315" s="22">
        <v>0</v>
      </c>
      <c r="Y315" s="22">
        <v>18.32</v>
      </c>
      <c r="Z315" s="22">
        <v>0</v>
      </c>
      <c r="AA315" s="22">
        <v>0</v>
      </c>
      <c r="AB315" s="22">
        <v>0</v>
      </c>
      <c r="AC315" s="22">
        <v>0</v>
      </c>
      <c r="AD315" s="22">
        <v>0</v>
      </c>
      <c r="AE315" s="22">
        <v>204.94</v>
      </c>
      <c r="AF315" s="22">
        <f t="shared" si="4"/>
        <v>204.94</v>
      </c>
      <c r="AG315" s="22">
        <v>0</v>
      </c>
      <c r="AH315" s="22">
        <v>204.94</v>
      </c>
      <c r="AI315" t="s">
        <v>562</v>
      </c>
      <c r="AJ315" t="s">
        <v>1306</v>
      </c>
    </row>
    <row r="316" spans="1:36" ht="72.5" outlineLevel="2" x14ac:dyDescent="0.35">
      <c r="A316" s="19" t="s">
        <v>551</v>
      </c>
      <c r="B316" s="19" t="s">
        <v>652</v>
      </c>
      <c r="C316" s="19" t="s">
        <v>600</v>
      </c>
      <c r="D316" s="19">
        <v>2018</v>
      </c>
      <c r="E316" s="19" t="s">
        <v>554</v>
      </c>
      <c r="F316" s="19">
        <v>80088807</v>
      </c>
      <c r="G316" s="19" t="s">
        <v>1633</v>
      </c>
      <c r="H316" s="19" t="s">
        <v>1634</v>
      </c>
      <c r="I316" s="19" t="s">
        <v>31</v>
      </c>
      <c r="J316" s="20">
        <v>1</v>
      </c>
      <c r="K316" s="21">
        <v>43370</v>
      </c>
      <c r="L316" s="21">
        <v>43370</v>
      </c>
      <c r="M316" s="21">
        <v>43417</v>
      </c>
      <c r="N316" s="24" t="s">
        <v>2448</v>
      </c>
      <c r="O316" s="19" t="s">
        <v>557</v>
      </c>
      <c r="P316" s="19" t="s">
        <v>665</v>
      </c>
      <c r="Q316" s="19" t="s">
        <v>569</v>
      </c>
      <c r="R316" s="19" t="s">
        <v>570</v>
      </c>
      <c r="S316" s="19" t="s">
        <v>1635</v>
      </c>
      <c r="T316" t="s">
        <v>51</v>
      </c>
      <c r="U316" s="22">
        <v>0</v>
      </c>
      <c r="V316" s="22">
        <v>0</v>
      </c>
      <c r="W316" s="22">
        <v>393.52</v>
      </c>
      <c r="X316" s="22">
        <v>0</v>
      </c>
      <c r="Y316" s="22">
        <v>24.79</v>
      </c>
      <c r="Z316" s="22">
        <v>0</v>
      </c>
      <c r="AA316" s="22">
        <v>0</v>
      </c>
      <c r="AB316" s="22">
        <v>0</v>
      </c>
      <c r="AC316" s="22">
        <v>0</v>
      </c>
      <c r="AD316" s="22">
        <v>0</v>
      </c>
      <c r="AE316" s="22">
        <v>418.31</v>
      </c>
      <c r="AF316" s="22">
        <f t="shared" si="4"/>
        <v>418.31</v>
      </c>
      <c r="AG316" s="22">
        <v>0</v>
      </c>
      <c r="AH316" s="22">
        <v>418.31</v>
      </c>
      <c r="AI316" t="s">
        <v>562</v>
      </c>
      <c r="AJ316" t="s">
        <v>1306</v>
      </c>
    </row>
    <row r="317" spans="1:36" ht="43.5" outlineLevel="2" x14ac:dyDescent="0.35">
      <c r="A317" s="19" t="s">
        <v>551</v>
      </c>
      <c r="B317" s="19" t="s">
        <v>1636</v>
      </c>
      <c r="C317" s="19" t="s">
        <v>673</v>
      </c>
      <c r="D317" s="19">
        <v>2018</v>
      </c>
      <c r="E317" s="19" t="s">
        <v>554</v>
      </c>
      <c r="F317" s="19">
        <v>80088822</v>
      </c>
      <c r="G317" s="19" t="s">
        <v>1637</v>
      </c>
      <c r="H317" s="19" t="s">
        <v>1638</v>
      </c>
      <c r="I317" s="19" t="s">
        <v>31</v>
      </c>
      <c r="J317" s="20">
        <v>1</v>
      </c>
      <c r="K317" s="21">
        <v>43370</v>
      </c>
      <c r="L317" s="21">
        <v>43374</v>
      </c>
      <c r="M317" s="21">
        <v>44502</v>
      </c>
      <c r="N317" s="24" t="s">
        <v>2448</v>
      </c>
      <c r="O317" s="19" t="s">
        <v>557</v>
      </c>
      <c r="P317" s="19" t="s">
        <v>609</v>
      </c>
      <c r="Q317" s="19" t="s">
        <v>625</v>
      </c>
      <c r="R317" s="19" t="s">
        <v>578</v>
      </c>
      <c r="S317" s="19" t="s">
        <v>1639</v>
      </c>
      <c r="T317" t="s">
        <v>51</v>
      </c>
      <c r="U317" s="22">
        <v>0</v>
      </c>
      <c r="V317" s="22">
        <v>0</v>
      </c>
      <c r="W317" s="22">
        <v>746.54</v>
      </c>
      <c r="X317" s="22">
        <v>0</v>
      </c>
      <c r="Y317" s="22">
        <v>204.44</v>
      </c>
      <c r="Z317" s="22">
        <v>0</v>
      </c>
      <c r="AA317" s="22">
        <v>0</v>
      </c>
      <c r="AB317" s="22">
        <v>0</v>
      </c>
      <c r="AC317" s="22">
        <v>0</v>
      </c>
      <c r="AD317" s="22">
        <v>0</v>
      </c>
      <c r="AE317" s="22">
        <v>950.98</v>
      </c>
      <c r="AF317" s="22">
        <f t="shared" si="4"/>
        <v>950.98</v>
      </c>
      <c r="AG317" s="22">
        <v>0</v>
      </c>
      <c r="AH317" s="22">
        <v>950.98</v>
      </c>
      <c r="AI317" t="s">
        <v>562</v>
      </c>
      <c r="AJ317" t="s">
        <v>1306</v>
      </c>
    </row>
    <row r="318" spans="1:36" ht="29" outlineLevel="2" x14ac:dyDescent="0.35">
      <c r="A318" s="19" t="s">
        <v>551</v>
      </c>
      <c r="B318" s="19" t="s">
        <v>1636</v>
      </c>
      <c r="C318" s="19" t="s">
        <v>673</v>
      </c>
      <c r="D318" s="19">
        <v>2018</v>
      </c>
      <c r="E318" s="19" t="s">
        <v>554</v>
      </c>
      <c r="F318" s="19">
        <v>80088833</v>
      </c>
      <c r="G318" s="19" t="s">
        <v>1640</v>
      </c>
      <c r="H318" s="19" t="s">
        <v>1641</v>
      </c>
      <c r="I318" s="19" t="s">
        <v>31</v>
      </c>
      <c r="J318" s="20">
        <v>1</v>
      </c>
      <c r="K318" s="21">
        <v>43370</v>
      </c>
      <c r="L318" s="21">
        <v>43370</v>
      </c>
      <c r="M318" s="21">
        <v>45583</v>
      </c>
      <c r="N318" s="24" t="s">
        <v>2448</v>
      </c>
      <c r="O318" s="19" t="s">
        <v>557</v>
      </c>
      <c r="P318" s="19" t="s">
        <v>665</v>
      </c>
      <c r="Q318" s="19" t="s">
        <v>577</v>
      </c>
      <c r="R318" s="19" t="s">
        <v>591</v>
      </c>
      <c r="S318" s="19" t="s">
        <v>1642</v>
      </c>
      <c r="T318" t="s">
        <v>51</v>
      </c>
      <c r="U318" s="22">
        <v>53158.22</v>
      </c>
      <c r="V318" s="22">
        <v>0</v>
      </c>
      <c r="W318" s="22">
        <v>66630.25</v>
      </c>
      <c r="X318" s="22">
        <v>0</v>
      </c>
      <c r="Y318" s="22">
        <v>57610.07</v>
      </c>
      <c r="Z318" s="22">
        <v>0</v>
      </c>
      <c r="AA318" s="22">
        <v>0</v>
      </c>
      <c r="AB318" s="22">
        <v>-345.23</v>
      </c>
      <c r="AC318" s="22">
        <v>0</v>
      </c>
      <c r="AD318" s="22">
        <v>0</v>
      </c>
      <c r="AE318" s="22">
        <v>177398.54</v>
      </c>
      <c r="AF318" s="22">
        <f t="shared" si="4"/>
        <v>177053.31</v>
      </c>
      <c r="AG318" s="22">
        <v>0</v>
      </c>
      <c r="AH318" s="22">
        <v>177053.31</v>
      </c>
      <c r="AI318" t="s">
        <v>562</v>
      </c>
      <c r="AJ318" t="s">
        <v>1306</v>
      </c>
    </row>
    <row r="319" spans="1:36" ht="43.5" outlineLevel="2" x14ac:dyDescent="0.35">
      <c r="A319" s="19" t="s">
        <v>551</v>
      </c>
      <c r="B319" s="19" t="s">
        <v>794</v>
      </c>
      <c r="C319" s="19" t="s">
        <v>749</v>
      </c>
      <c r="D319" s="19">
        <v>2018</v>
      </c>
      <c r="E319" s="19" t="s">
        <v>554</v>
      </c>
      <c r="F319" s="19">
        <v>80088813</v>
      </c>
      <c r="G319" s="19" t="s">
        <v>1643</v>
      </c>
      <c r="H319" s="19" t="s">
        <v>1644</v>
      </c>
      <c r="I319" s="19" t="s">
        <v>31</v>
      </c>
      <c r="J319" s="20">
        <v>1</v>
      </c>
      <c r="K319" s="21">
        <v>43369</v>
      </c>
      <c r="L319" s="21">
        <v>43371</v>
      </c>
      <c r="M319" s="21">
        <v>43495</v>
      </c>
      <c r="N319" s="24" t="s">
        <v>2448</v>
      </c>
      <c r="O319" s="19" t="s">
        <v>557</v>
      </c>
      <c r="P319" s="19" t="s">
        <v>609</v>
      </c>
      <c r="Q319" s="19" t="s">
        <v>735</v>
      </c>
      <c r="R319" s="19" t="s">
        <v>570</v>
      </c>
      <c r="S319" s="19" t="s">
        <v>1645</v>
      </c>
      <c r="T319" t="s">
        <v>603</v>
      </c>
      <c r="U319" s="22">
        <v>0</v>
      </c>
      <c r="V319" s="22">
        <v>0</v>
      </c>
      <c r="W319" s="22">
        <v>760.81</v>
      </c>
      <c r="X319" s="22">
        <v>0</v>
      </c>
      <c r="Y319" s="22">
        <v>76.790000000000006</v>
      </c>
      <c r="Z319" s="22">
        <v>0</v>
      </c>
      <c r="AA319" s="22">
        <v>0</v>
      </c>
      <c r="AB319" s="22">
        <v>0</v>
      </c>
      <c r="AC319" s="22">
        <v>0</v>
      </c>
      <c r="AD319" s="22">
        <v>0</v>
      </c>
      <c r="AE319" s="22">
        <v>837.6</v>
      </c>
      <c r="AF319" s="22">
        <f t="shared" si="4"/>
        <v>837.6</v>
      </c>
      <c r="AG319" s="22">
        <v>0</v>
      </c>
      <c r="AH319" s="22">
        <v>837.6</v>
      </c>
      <c r="AI319" t="s">
        <v>562</v>
      </c>
      <c r="AJ319" t="s">
        <v>1306</v>
      </c>
    </row>
    <row r="320" spans="1:36" ht="29" outlineLevel="2" x14ac:dyDescent="0.35">
      <c r="A320" s="19" t="s">
        <v>551</v>
      </c>
      <c r="B320" s="19" t="s">
        <v>798</v>
      </c>
      <c r="C320" s="19" t="s">
        <v>673</v>
      </c>
      <c r="D320" s="19">
        <v>2018</v>
      </c>
      <c r="E320" s="19" t="s">
        <v>554</v>
      </c>
      <c r="F320" s="19">
        <v>80088796</v>
      </c>
      <c r="G320" s="19" t="s">
        <v>1646</v>
      </c>
      <c r="H320" s="19" t="s">
        <v>1647</v>
      </c>
      <c r="I320" s="19" t="s">
        <v>31</v>
      </c>
      <c r="J320" s="20">
        <v>1</v>
      </c>
      <c r="K320" s="21">
        <v>43368</v>
      </c>
      <c r="L320" s="21">
        <v>43371</v>
      </c>
      <c r="M320" s="21">
        <v>43507</v>
      </c>
      <c r="N320" s="24" t="s">
        <v>2448</v>
      </c>
      <c r="O320" s="19" t="s">
        <v>557</v>
      </c>
      <c r="P320" s="19" t="s">
        <v>568</v>
      </c>
      <c r="Q320" s="19" t="s">
        <v>610</v>
      </c>
      <c r="R320" s="19" t="s">
        <v>670</v>
      </c>
      <c r="S320" s="19" t="s">
        <v>1648</v>
      </c>
      <c r="T320" t="s">
        <v>51</v>
      </c>
      <c r="U320" s="22">
        <v>0</v>
      </c>
      <c r="V320" s="22">
        <v>0</v>
      </c>
      <c r="W320" s="22">
        <v>279.8</v>
      </c>
      <c r="X320" s="22">
        <v>0</v>
      </c>
      <c r="Y320" s="22">
        <v>62.94</v>
      </c>
      <c r="Z320" s="22">
        <v>0</v>
      </c>
      <c r="AA320" s="22">
        <v>0</v>
      </c>
      <c r="AB320" s="22">
        <v>0</v>
      </c>
      <c r="AC320" s="22">
        <v>0</v>
      </c>
      <c r="AD320" s="22">
        <v>0</v>
      </c>
      <c r="AE320" s="22">
        <v>342.74</v>
      </c>
      <c r="AF320" s="22">
        <f t="shared" si="4"/>
        <v>342.74</v>
      </c>
      <c r="AG320" s="22">
        <v>0</v>
      </c>
      <c r="AH320" s="22">
        <v>342.74</v>
      </c>
      <c r="AI320" t="s">
        <v>562</v>
      </c>
      <c r="AJ320" t="s">
        <v>1306</v>
      </c>
    </row>
    <row r="321" spans="1:36" ht="87" outlineLevel="2" x14ac:dyDescent="0.35">
      <c r="A321" s="19" t="s">
        <v>551</v>
      </c>
      <c r="B321" s="19" t="s">
        <v>636</v>
      </c>
      <c r="C321" s="19" t="s">
        <v>594</v>
      </c>
      <c r="D321" s="19">
        <v>2018</v>
      </c>
      <c r="E321" s="19" t="s">
        <v>554</v>
      </c>
      <c r="F321" s="19">
        <v>80088800</v>
      </c>
      <c r="G321" s="19" t="s">
        <v>1649</v>
      </c>
      <c r="H321" s="19" t="s">
        <v>1650</v>
      </c>
      <c r="I321" s="19" t="s">
        <v>31</v>
      </c>
      <c r="J321" s="20">
        <v>1</v>
      </c>
      <c r="K321" s="21">
        <v>43362</v>
      </c>
      <c r="L321" s="21">
        <v>43363</v>
      </c>
      <c r="M321" s="21">
        <v>43454</v>
      </c>
      <c r="N321" s="24" t="s">
        <v>2448</v>
      </c>
      <c r="O321" s="19" t="s">
        <v>557</v>
      </c>
      <c r="Q321" s="19" t="s">
        <v>569</v>
      </c>
      <c r="R321" s="19" t="s">
        <v>591</v>
      </c>
      <c r="S321" s="19" t="s">
        <v>1651</v>
      </c>
      <c r="T321" t="s">
        <v>223</v>
      </c>
      <c r="U321" s="22">
        <v>0</v>
      </c>
      <c r="V321" s="22">
        <v>0</v>
      </c>
      <c r="W321" s="22">
        <v>410.86</v>
      </c>
      <c r="X321" s="22">
        <v>0</v>
      </c>
      <c r="Y321" s="22">
        <v>36.159999999999997</v>
      </c>
      <c r="Z321" s="22">
        <v>0</v>
      </c>
      <c r="AA321" s="22">
        <v>0</v>
      </c>
      <c r="AB321" s="22">
        <v>0</v>
      </c>
      <c r="AC321" s="22">
        <v>0</v>
      </c>
      <c r="AD321" s="22">
        <v>0</v>
      </c>
      <c r="AE321" s="22">
        <v>447.02</v>
      </c>
      <c r="AF321" s="22">
        <f t="shared" si="4"/>
        <v>447.02</v>
      </c>
      <c r="AG321" s="22">
        <v>0</v>
      </c>
      <c r="AH321" s="22">
        <v>447.02</v>
      </c>
      <c r="AI321" t="s">
        <v>562</v>
      </c>
      <c r="AJ321" t="s">
        <v>1306</v>
      </c>
    </row>
    <row r="322" spans="1:36" ht="43.5" outlineLevel="2" x14ac:dyDescent="0.35">
      <c r="A322" s="19" t="s">
        <v>551</v>
      </c>
      <c r="B322" s="19" t="s">
        <v>1001</v>
      </c>
      <c r="C322" s="19" t="s">
        <v>1002</v>
      </c>
      <c r="D322" s="19">
        <v>2018</v>
      </c>
      <c r="E322" s="19" t="s">
        <v>554</v>
      </c>
      <c r="F322" s="19">
        <v>80088801</v>
      </c>
      <c r="G322" s="19" t="s">
        <v>1652</v>
      </c>
      <c r="H322" s="19" t="s">
        <v>1653</v>
      </c>
      <c r="I322" s="19" t="s">
        <v>31</v>
      </c>
      <c r="J322" s="20">
        <v>1</v>
      </c>
      <c r="K322" s="21">
        <v>43361</v>
      </c>
      <c r="L322" s="21">
        <v>43375</v>
      </c>
      <c r="M322" s="21">
        <v>43493</v>
      </c>
      <c r="N322" s="24" t="s">
        <v>2448</v>
      </c>
      <c r="O322" s="19" t="s">
        <v>557</v>
      </c>
      <c r="P322" s="19" t="s">
        <v>609</v>
      </c>
      <c r="Q322" s="19" t="s">
        <v>655</v>
      </c>
      <c r="R322" s="19" t="s">
        <v>616</v>
      </c>
      <c r="S322" s="19" t="s">
        <v>1654</v>
      </c>
      <c r="T322" t="s">
        <v>51</v>
      </c>
      <c r="U322" s="22">
        <v>0</v>
      </c>
      <c r="V322" s="22">
        <v>0</v>
      </c>
      <c r="W322" s="22">
        <v>1715.16</v>
      </c>
      <c r="X322" s="22">
        <v>0</v>
      </c>
      <c r="Y322" s="22">
        <v>553.91</v>
      </c>
      <c r="Z322" s="22">
        <v>0</v>
      </c>
      <c r="AA322" s="22">
        <v>0</v>
      </c>
      <c r="AB322" s="22">
        <v>0</v>
      </c>
      <c r="AC322" s="22">
        <v>0</v>
      </c>
      <c r="AD322" s="22">
        <v>0</v>
      </c>
      <c r="AE322" s="22">
        <v>2269.0700000000002</v>
      </c>
      <c r="AF322" s="22">
        <f t="shared" si="4"/>
        <v>2269.0700000000002</v>
      </c>
      <c r="AG322" s="22">
        <v>0</v>
      </c>
      <c r="AH322" s="22">
        <v>2269.0700000000002</v>
      </c>
      <c r="AI322" t="s">
        <v>562</v>
      </c>
      <c r="AJ322" t="s">
        <v>1306</v>
      </c>
    </row>
    <row r="323" spans="1:36" ht="87" outlineLevel="2" x14ac:dyDescent="0.35">
      <c r="A323" s="19" t="s">
        <v>551</v>
      </c>
      <c r="B323" s="19" t="s">
        <v>717</v>
      </c>
      <c r="C323" s="19" t="s">
        <v>673</v>
      </c>
      <c r="D323" s="19">
        <v>2018</v>
      </c>
      <c r="E323" s="19" t="s">
        <v>554</v>
      </c>
      <c r="F323" s="19">
        <v>80088804</v>
      </c>
      <c r="G323" s="19" t="s">
        <v>1655</v>
      </c>
      <c r="H323" s="19" t="s">
        <v>1656</v>
      </c>
      <c r="I323" s="19" t="s">
        <v>31</v>
      </c>
      <c r="J323" s="20">
        <v>1</v>
      </c>
      <c r="K323" s="21">
        <v>43361</v>
      </c>
      <c r="L323" s="21">
        <v>43367</v>
      </c>
      <c r="M323" s="21">
        <v>43412</v>
      </c>
      <c r="N323" s="24" t="s">
        <v>2448</v>
      </c>
      <c r="O323" s="19" t="s">
        <v>557</v>
      </c>
      <c r="P323" s="19" t="s">
        <v>576</v>
      </c>
      <c r="Q323" s="19" t="s">
        <v>577</v>
      </c>
      <c r="R323" s="19" t="s">
        <v>616</v>
      </c>
      <c r="S323" s="19" t="s">
        <v>1657</v>
      </c>
      <c r="T323" t="s">
        <v>51</v>
      </c>
      <c r="U323" s="22">
        <v>0</v>
      </c>
      <c r="V323" s="22">
        <v>0</v>
      </c>
      <c r="W323" s="22">
        <v>303.33</v>
      </c>
      <c r="X323" s="22">
        <v>0</v>
      </c>
      <c r="Y323" s="22">
        <v>37.94</v>
      </c>
      <c r="Z323" s="22">
        <v>0</v>
      </c>
      <c r="AA323" s="22">
        <v>0</v>
      </c>
      <c r="AB323" s="22">
        <v>0</v>
      </c>
      <c r="AC323" s="22">
        <v>0</v>
      </c>
      <c r="AD323" s="22">
        <v>0</v>
      </c>
      <c r="AE323" s="22">
        <v>341.27</v>
      </c>
      <c r="AF323" s="22">
        <f t="shared" ref="AF323:AF386" si="5">AE323+AA323+AB323+AC323</f>
        <v>341.27</v>
      </c>
      <c r="AG323" s="22">
        <v>0</v>
      </c>
      <c r="AH323" s="22">
        <v>341.27</v>
      </c>
      <c r="AI323" t="s">
        <v>562</v>
      </c>
      <c r="AJ323" t="s">
        <v>1306</v>
      </c>
    </row>
    <row r="324" spans="1:36" ht="87" outlineLevel="2" x14ac:dyDescent="0.35">
      <c r="A324" s="19" t="s">
        <v>551</v>
      </c>
      <c r="B324" s="19" t="s">
        <v>636</v>
      </c>
      <c r="C324" s="19" t="s">
        <v>594</v>
      </c>
      <c r="D324" s="19">
        <v>2018</v>
      </c>
      <c r="E324" s="19" t="s">
        <v>554</v>
      </c>
      <c r="F324" s="19">
        <v>80088795</v>
      </c>
      <c r="G324" s="19" t="s">
        <v>1658</v>
      </c>
      <c r="H324" s="19" t="s">
        <v>1659</v>
      </c>
      <c r="I324" s="19" t="s">
        <v>31</v>
      </c>
      <c r="J324" s="20">
        <v>1</v>
      </c>
      <c r="K324" s="21">
        <v>43360</v>
      </c>
      <c r="L324" s="21">
        <v>43361</v>
      </c>
      <c r="M324" s="21">
        <v>43371</v>
      </c>
      <c r="N324" s="24" t="s">
        <v>2448</v>
      </c>
      <c r="O324" s="19" t="s">
        <v>557</v>
      </c>
      <c r="P324" s="19" t="s">
        <v>665</v>
      </c>
      <c r="Q324" s="19" t="s">
        <v>569</v>
      </c>
      <c r="R324" s="19" t="s">
        <v>570</v>
      </c>
      <c r="S324" s="19" t="s">
        <v>1660</v>
      </c>
      <c r="T324" t="s">
        <v>223</v>
      </c>
      <c r="U324" s="22">
        <v>0</v>
      </c>
      <c r="V324" s="22">
        <v>0</v>
      </c>
      <c r="W324" s="22">
        <v>354.1</v>
      </c>
      <c r="X324" s="22">
        <v>0</v>
      </c>
      <c r="Y324" s="22">
        <v>55.48</v>
      </c>
      <c r="Z324" s="22">
        <v>0</v>
      </c>
      <c r="AA324" s="22">
        <v>0</v>
      </c>
      <c r="AB324" s="22">
        <v>0</v>
      </c>
      <c r="AC324" s="22">
        <v>0</v>
      </c>
      <c r="AD324" s="22">
        <v>0</v>
      </c>
      <c r="AE324" s="22">
        <v>409.58</v>
      </c>
      <c r="AF324" s="22">
        <f t="shared" si="5"/>
        <v>409.58</v>
      </c>
      <c r="AG324" s="22">
        <v>0</v>
      </c>
      <c r="AH324" s="22">
        <v>409.58</v>
      </c>
      <c r="AI324" t="s">
        <v>562</v>
      </c>
      <c r="AJ324" t="s">
        <v>1306</v>
      </c>
    </row>
    <row r="325" spans="1:36" ht="29" outlineLevel="2" x14ac:dyDescent="0.35">
      <c r="A325" s="19" t="s">
        <v>551</v>
      </c>
      <c r="B325" s="19" t="s">
        <v>798</v>
      </c>
      <c r="C325" s="19" t="s">
        <v>673</v>
      </c>
      <c r="D325" s="19">
        <v>2018</v>
      </c>
      <c r="E325" s="19" t="s">
        <v>554</v>
      </c>
      <c r="F325" s="19">
        <v>80088850</v>
      </c>
      <c r="G325" s="19" t="s">
        <v>1661</v>
      </c>
      <c r="H325" s="19" t="s">
        <v>1662</v>
      </c>
      <c r="I325" s="19" t="s">
        <v>31</v>
      </c>
      <c r="J325" s="20">
        <v>1</v>
      </c>
      <c r="K325" s="21">
        <v>43355</v>
      </c>
      <c r="L325" s="21">
        <v>43355</v>
      </c>
      <c r="M325" s="21">
        <v>43679</v>
      </c>
      <c r="N325" s="24" t="s">
        <v>2448</v>
      </c>
      <c r="O325" s="19" t="s">
        <v>557</v>
      </c>
      <c r="P325" s="19" t="s">
        <v>568</v>
      </c>
      <c r="Q325" s="19" t="s">
        <v>735</v>
      </c>
      <c r="R325" s="19" t="s">
        <v>591</v>
      </c>
      <c r="S325" s="19" t="s">
        <v>1663</v>
      </c>
      <c r="T325" t="s">
        <v>51</v>
      </c>
      <c r="U325" s="22">
        <v>1802.82</v>
      </c>
      <c r="V325" s="22">
        <v>0</v>
      </c>
      <c r="W325" s="22">
        <v>2219.92</v>
      </c>
      <c r="X325" s="22">
        <v>0</v>
      </c>
      <c r="Y325" s="22">
        <v>1050.19</v>
      </c>
      <c r="Z325" s="22">
        <v>0</v>
      </c>
      <c r="AA325" s="22">
        <v>0</v>
      </c>
      <c r="AB325" s="22">
        <v>-12.46</v>
      </c>
      <c r="AC325" s="22">
        <v>0</v>
      </c>
      <c r="AD325" s="22">
        <v>0</v>
      </c>
      <c r="AE325" s="22">
        <v>5072.93</v>
      </c>
      <c r="AF325" s="22">
        <f t="shared" si="5"/>
        <v>5060.47</v>
      </c>
      <c r="AG325" s="22">
        <v>0</v>
      </c>
      <c r="AH325" s="22">
        <v>5060.47</v>
      </c>
      <c r="AI325" t="s">
        <v>562</v>
      </c>
      <c r="AJ325" t="s">
        <v>1306</v>
      </c>
    </row>
    <row r="326" spans="1:36" ht="101.5" outlineLevel="2" x14ac:dyDescent="0.35">
      <c r="A326" s="19" t="s">
        <v>551</v>
      </c>
      <c r="B326" s="19" t="s">
        <v>572</v>
      </c>
      <c r="C326" s="19" t="s">
        <v>573</v>
      </c>
      <c r="D326" s="19">
        <v>2018</v>
      </c>
      <c r="E326" s="19" t="s">
        <v>554</v>
      </c>
      <c r="F326" s="19">
        <v>80088879</v>
      </c>
      <c r="G326" s="19" t="s">
        <v>1664</v>
      </c>
      <c r="H326" s="19" t="s">
        <v>1665</v>
      </c>
      <c r="I326" s="19" t="s">
        <v>31</v>
      </c>
      <c r="J326" s="20">
        <v>1</v>
      </c>
      <c r="K326" s="21">
        <v>43354</v>
      </c>
      <c r="L326" s="21">
        <v>43356</v>
      </c>
      <c r="M326" s="21">
        <v>43377</v>
      </c>
      <c r="N326" s="24" t="s">
        <v>2448</v>
      </c>
      <c r="O326" s="19" t="s">
        <v>557</v>
      </c>
      <c r="P326" s="19" t="s">
        <v>568</v>
      </c>
      <c r="Q326" s="19" t="s">
        <v>1666</v>
      </c>
      <c r="R326" s="19" t="s">
        <v>1373</v>
      </c>
      <c r="S326" s="19" t="s">
        <v>1667</v>
      </c>
      <c r="T326" t="s">
        <v>161</v>
      </c>
      <c r="U326" s="22">
        <v>0</v>
      </c>
      <c r="V326" s="22">
        <v>0</v>
      </c>
      <c r="W326" s="22">
        <v>438.98</v>
      </c>
      <c r="X326" s="22">
        <v>0</v>
      </c>
      <c r="Y326" s="22">
        <v>39.369999999999997</v>
      </c>
      <c r="Z326" s="22">
        <v>0</v>
      </c>
      <c r="AA326" s="22">
        <v>0</v>
      </c>
      <c r="AB326" s="22">
        <v>0</v>
      </c>
      <c r="AC326" s="22">
        <v>0</v>
      </c>
      <c r="AD326" s="22">
        <v>0</v>
      </c>
      <c r="AE326" s="22">
        <v>478.35</v>
      </c>
      <c r="AF326" s="22">
        <f t="shared" si="5"/>
        <v>478.35</v>
      </c>
      <c r="AG326" s="22">
        <v>0</v>
      </c>
      <c r="AH326" s="22">
        <v>478.35</v>
      </c>
      <c r="AI326" t="s">
        <v>562</v>
      </c>
      <c r="AJ326" t="s">
        <v>1306</v>
      </c>
    </row>
    <row r="327" spans="1:36" ht="87" outlineLevel="2" x14ac:dyDescent="0.35">
      <c r="A327" s="19" t="s">
        <v>551</v>
      </c>
      <c r="B327" s="19" t="s">
        <v>636</v>
      </c>
      <c r="C327" s="19" t="s">
        <v>594</v>
      </c>
      <c r="D327" s="19">
        <v>2018</v>
      </c>
      <c r="E327" s="19" t="s">
        <v>554</v>
      </c>
      <c r="F327" s="19">
        <v>80088885</v>
      </c>
      <c r="G327" s="19" t="s">
        <v>1668</v>
      </c>
      <c r="H327" s="19" t="s">
        <v>1669</v>
      </c>
      <c r="I327" s="19" t="s">
        <v>31</v>
      </c>
      <c r="J327" s="20">
        <v>1</v>
      </c>
      <c r="K327" s="21">
        <v>43354</v>
      </c>
      <c r="L327" s="21">
        <v>43357</v>
      </c>
      <c r="M327" s="21">
        <v>43712</v>
      </c>
      <c r="N327" s="24" t="s">
        <v>2448</v>
      </c>
      <c r="O327" s="19" t="s">
        <v>557</v>
      </c>
      <c r="P327" s="19" t="s">
        <v>568</v>
      </c>
      <c r="Q327" s="19" t="s">
        <v>655</v>
      </c>
      <c r="R327" s="19" t="s">
        <v>578</v>
      </c>
      <c r="S327" s="19" t="s">
        <v>1670</v>
      </c>
      <c r="T327" t="s">
        <v>325</v>
      </c>
      <c r="U327" s="22">
        <v>1350</v>
      </c>
      <c r="V327" s="22">
        <v>0</v>
      </c>
      <c r="W327" s="22">
        <v>1612.51</v>
      </c>
      <c r="X327" s="22">
        <v>0</v>
      </c>
      <c r="Y327" s="22">
        <v>29.3</v>
      </c>
      <c r="Z327" s="22">
        <v>0</v>
      </c>
      <c r="AA327" s="22">
        <v>0</v>
      </c>
      <c r="AB327" s="22">
        <v>0</v>
      </c>
      <c r="AC327" s="22">
        <v>0</v>
      </c>
      <c r="AD327" s="22">
        <v>0</v>
      </c>
      <c r="AE327" s="22">
        <v>2991.81</v>
      </c>
      <c r="AF327" s="22">
        <f t="shared" si="5"/>
        <v>2991.81</v>
      </c>
      <c r="AG327" s="22">
        <v>0</v>
      </c>
      <c r="AH327" s="22">
        <v>2991.81</v>
      </c>
      <c r="AI327" t="s">
        <v>562</v>
      </c>
      <c r="AJ327" t="s">
        <v>1306</v>
      </c>
    </row>
    <row r="328" spans="1:36" ht="43.5" outlineLevel="2" x14ac:dyDescent="0.35">
      <c r="A328" s="19" t="s">
        <v>551</v>
      </c>
      <c r="B328" s="19" t="s">
        <v>794</v>
      </c>
      <c r="C328" s="19" t="s">
        <v>749</v>
      </c>
      <c r="D328" s="19">
        <v>2018</v>
      </c>
      <c r="E328" s="19" t="s">
        <v>554</v>
      </c>
      <c r="F328" s="19">
        <v>80089249</v>
      </c>
      <c r="G328" s="19" t="s">
        <v>1671</v>
      </c>
      <c r="H328" s="19" t="s">
        <v>1672</v>
      </c>
      <c r="I328" s="19" t="s">
        <v>31</v>
      </c>
      <c r="J328" s="20">
        <v>1</v>
      </c>
      <c r="K328" s="21">
        <v>43353</v>
      </c>
      <c r="L328" s="21">
        <v>43552</v>
      </c>
      <c r="M328" s="21">
        <v>43672</v>
      </c>
      <c r="N328" s="24" t="s">
        <v>2448</v>
      </c>
      <c r="O328" s="19" t="s">
        <v>557</v>
      </c>
      <c r="P328" s="19" t="s">
        <v>609</v>
      </c>
      <c r="Q328" s="19" t="s">
        <v>634</v>
      </c>
      <c r="R328" s="19" t="s">
        <v>616</v>
      </c>
      <c r="S328" s="19" t="s">
        <v>1673</v>
      </c>
      <c r="T328" t="s">
        <v>212</v>
      </c>
      <c r="U328" s="22">
        <v>0</v>
      </c>
      <c r="V328" s="22">
        <v>0</v>
      </c>
      <c r="W328" s="22">
        <v>519.99</v>
      </c>
      <c r="X328" s="22">
        <v>0</v>
      </c>
      <c r="Y328" s="22">
        <v>46.9</v>
      </c>
      <c r="Z328" s="22">
        <v>0</v>
      </c>
      <c r="AA328" s="22">
        <v>0</v>
      </c>
      <c r="AB328" s="22">
        <v>0</v>
      </c>
      <c r="AC328" s="22">
        <v>0</v>
      </c>
      <c r="AD328" s="22">
        <v>0</v>
      </c>
      <c r="AE328" s="22">
        <v>566.89</v>
      </c>
      <c r="AF328" s="22">
        <f t="shared" si="5"/>
        <v>566.89</v>
      </c>
      <c r="AG328" s="22">
        <v>0</v>
      </c>
      <c r="AH328" s="22">
        <v>566.89</v>
      </c>
      <c r="AI328" t="s">
        <v>562</v>
      </c>
      <c r="AJ328" t="s">
        <v>1306</v>
      </c>
    </row>
    <row r="329" spans="1:36" ht="43.5" outlineLevel="2" x14ac:dyDescent="0.35">
      <c r="A329" s="19" t="s">
        <v>551</v>
      </c>
      <c r="B329" s="19" t="s">
        <v>572</v>
      </c>
      <c r="C329" s="19" t="s">
        <v>573</v>
      </c>
      <c r="D329" s="19">
        <v>2018</v>
      </c>
      <c r="E329" s="19" t="s">
        <v>554</v>
      </c>
      <c r="F329" s="19">
        <v>80088799</v>
      </c>
      <c r="G329" s="19" t="s">
        <v>1674</v>
      </c>
      <c r="H329" s="19" t="s">
        <v>1675</v>
      </c>
      <c r="I329" s="19" t="s">
        <v>31</v>
      </c>
      <c r="J329" s="20">
        <v>1</v>
      </c>
      <c r="K329" s="21">
        <v>43348</v>
      </c>
      <c r="L329" s="21">
        <v>43370</v>
      </c>
      <c r="M329" s="21">
        <v>43433</v>
      </c>
      <c r="N329" s="24" t="s">
        <v>2448</v>
      </c>
      <c r="O329" s="19" t="s">
        <v>557</v>
      </c>
      <c r="P329" s="19" t="s">
        <v>665</v>
      </c>
      <c r="Q329" s="19" t="s">
        <v>661</v>
      </c>
      <c r="R329" s="19" t="s">
        <v>570</v>
      </c>
      <c r="S329" s="19" t="s">
        <v>1676</v>
      </c>
      <c r="T329" t="s">
        <v>139</v>
      </c>
      <c r="U329" s="22">
        <v>0</v>
      </c>
      <c r="V329" s="22">
        <v>0</v>
      </c>
      <c r="W329" s="22">
        <v>0</v>
      </c>
      <c r="X329" s="22">
        <v>0</v>
      </c>
      <c r="Y329" s="22">
        <v>0</v>
      </c>
      <c r="Z329" s="22">
        <v>0</v>
      </c>
      <c r="AA329" s="22">
        <v>0</v>
      </c>
      <c r="AB329" s="22">
        <v>0</v>
      </c>
      <c r="AC329" s="22">
        <v>0</v>
      </c>
      <c r="AD329" s="22">
        <v>0</v>
      </c>
      <c r="AE329" s="22">
        <v>0</v>
      </c>
      <c r="AF329" s="22">
        <f t="shared" si="5"/>
        <v>0</v>
      </c>
      <c r="AG329" s="22">
        <v>0</v>
      </c>
      <c r="AH329" s="22">
        <v>0</v>
      </c>
      <c r="AI329" t="s">
        <v>562</v>
      </c>
      <c r="AJ329" t="s">
        <v>1306</v>
      </c>
    </row>
    <row r="330" spans="1:36" ht="43.5" outlineLevel="2" x14ac:dyDescent="0.35">
      <c r="A330" s="19" t="s">
        <v>551</v>
      </c>
      <c r="B330" s="19" t="s">
        <v>1623</v>
      </c>
      <c r="C330" s="19" t="s">
        <v>765</v>
      </c>
      <c r="D330" s="19">
        <v>2018</v>
      </c>
      <c r="E330" s="19" t="s">
        <v>554</v>
      </c>
      <c r="F330" s="19">
        <v>80088840</v>
      </c>
      <c r="G330" s="19" t="s">
        <v>1677</v>
      </c>
      <c r="H330" s="19" t="s">
        <v>1678</v>
      </c>
      <c r="I330" s="19" t="s">
        <v>31</v>
      </c>
      <c r="J330" s="20">
        <v>1</v>
      </c>
      <c r="K330" s="21">
        <v>43348</v>
      </c>
      <c r="L330" s="21">
        <v>43353</v>
      </c>
      <c r="M330" s="21">
        <v>43397</v>
      </c>
      <c r="N330" s="24" t="s">
        <v>2448</v>
      </c>
      <c r="O330" s="19" t="s">
        <v>557</v>
      </c>
      <c r="P330" s="19" t="s">
        <v>568</v>
      </c>
      <c r="Q330" s="19" t="s">
        <v>655</v>
      </c>
      <c r="R330" s="19" t="s">
        <v>578</v>
      </c>
      <c r="S330" s="19" t="s">
        <v>1679</v>
      </c>
      <c r="T330" t="s">
        <v>121</v>
      </c>
      <c r="U330" s="22">
        <v>0</v>
      </c>
      <c r="V330" s="22">
        <v>0</v>
      </c>
      <c r="W330" s="22">
        <v>421.43</v>
      </c>
      <c r="X330" s="22">
        <v>0</v>
      </c>
      <c r="Y330" s="22">
        <v>63.52</v>
      </c>
      <c r="Z330" s="22">
        <v>0</v>
      </c>
      <c r="AA330" s="22">
        <v>0</v>
      </c>
      <c r="AB330" s="22">
        <v>0</v>
      </c>
      <c r="AC330" s="22">
        <v>0</v>
      </c>
      <c r="AD330" s="22">
        <v>0</v>
      </c>
      <c r="AE330" s="22">
        <v>484.95</v>
      </c>
      <c r="AF330" s="22">
        <f t="shared" si="5"/>
        <v>484.95</v>
      </c>
      <c r="AG330" s="22">
        <v>0</v>
      </c>
      <c r="AH330" s="22">
        <v>484.95</v>
      </c>
      <c r="AI330" t="s">
        <v>562</v>
      </c>
      <c r="AJ330" t="s">
        <v>1306</v>
      </c>
    </row>
    <row r="331" spans="1:36" ht="116" outlineLevel="2" x14ac:dyDescent="0.35">
      <c r="A331" s="19" t="s">
        <v>551</v>
      </c>
      <c r="B331" s="19" t="s">
        <v>636</v>
      </c>
      <c r="C331" s="19" t="s">
        <v>594</v>
      </c>
      <c r="D331" s="19">
        <v>2018</v>
      </c>
      <c r="E331" s="19" t="s">
        <v>554</v>
      </c>
      <c r="F331" s="19">
        <v>80088889</v>
      </c>
      <c r="G331" s="19" t="s">
        <v>1680</v>
      </c>
      <c r="H331" s="19" t="s">
        <v>1681</v>
      </c>
      <c r="I331" s="19" t="s">
        <v>31</v>
      </c>
      <c r="J331" s="20">
        <v>1</v>
      </c>
      <c r="K331" s="21">
        <v>43348</v>
      </c>
      <c r="L331" s="21">
        <v>43360</v>
      </c>
      <c r="M331" s="21">
        <v>43489</v>
      </c>
      <c r="N331" s="24" t="s">
        <v>2448</v>
      </c>
      <c r="O331" s="19" t="s">
        <v>557</v>
      </c>
      <c r="P331" s="19" t="s">
        <v>576</v>
      </c>
      <c r="Q331" s="19" t="s">
        <v>639</v>
      </c>
      <c r="R331" s="19" t="s">
        <v>640</v>
      </c>
      <c r="S331" s="19" t="s">
        <v>1682</v>
      </c>
      <c r="T331" t="s">
        <v>33</v>
      </c>
      <c r="U331" s="22">
        <v>0</v>
      </c>
      <c r="V331" s="22">
        <v>0</v>
      </c>
      <c r="W331" s="22">
        <v>262.58999999999997</v>
      </c>
      <c r="X331" s="22">
        <v>0</v>
      </c>
      <c r="Y331" s="22">
        <v>29.43</v>
      </c>
      <c r="Z331" s="22">
        <v>0</v>
      </c>
      <c r="AA331" s="22">
        <v>0</v>
      </c>
      <c r="AB331" s="22">
        <v>0</v>
      </c>
      <c r="AC331" s="22">
        <v>0</v>
      </c>
      <c r="AD331" s="22">
        <v>0</v>
      </c>
      <c r="AE331" s="22">
        <v>292.02</v>
      </c>
      <c r="AF331" s="22">
        <f t="shared" si="5"/>
        <v>292.02</v>
      </c>
      <c r="AG331" s="22">
        <v>0</v>
      </c>
      <c r="AH331" s="22">
        <v>292.02</v>
      </c>
      <c r="AI331" t="s">
        <v>562</v>
      </c>
      <c r="AJ331" t="s">
        <v>1306</v>
      </c>
    </row>
    <row r="332" spans="1:36" ht="72.5" outlineLevel="2" x14ac:dyDescent="0.35">
      <c r="A332" s="19" t="s">
        <v>551</v>
      </c>
      <c r="B332" s="19" t="s">
        <v>572</v>
      </c>
      <c r="C332" s="19" t="s">
        <v>573</v>
      </c>
      <c r="D332" s="19">
        <v>2018</v>
      </c>
      <c r="E332" s="19" t="s">
        <v>554</v>
      </c>
      <c r="F332" s="19">
        <v>80088805</v>
      </c>
      <c r="G332" s="19" t="s">
        <v>1683</v>
      </c>
      <c r="H332" s="19" t="s">
        <v>1684</v>
      </c>
      <c r="I332" s="19" t="s">
        <v>31</v>
      </c>
      <c r="J332" s="20">
        <v>1</v>
      </c>
      <c r="K332" s="21">
        <v>43341</v>
      </c>
      <c r="L332" s="21">
        <v>43342</v>
      </c>
      <c r="M332" s="21">
        <v>43389</v>
      </c>
      <c r="N332" s="24" t="s">
        <v>2448</v>
      </c>
      <c r="O332" s="19" t="s">
        <v>557</v>
      </c>
      <c r="P332" s="19" t="s">
        <v>665</v>
      </c>
      <c r="Q332" s="19" t="s">
        <v>569</v>
      </c>
      <c r="R332" s="19" t="s">
        <v>591</v>
      </c>
      <c r="S332" s="19" t="s">
        <v>1685</v>
      </c>
      <c r="T332" t="s">
        <v>139</v>
      </c>
      <c r="U332" s="22">
        <v>0</v>
      </c>
      <c r="V332" s="22">
        <v>0</v>
      </c>
      <c r="W332" s="22">
        <v>745.43</v>
      </c>
      <c r="X332" s="22">
        <v>0</v>
      </c>
      <c r="Y332" s="22">
        <v>51.85</v>
      </c>
      <c r="Z332" s="22">
        <v>0</v>
      </c>
      <c r="AA332" s="22">
        <v>0</v>
      </c>
      <c r="AB332" s="22">
        <v>0</v>
      </c>
      <c r="AC332" s="22">
        <v>0</v>
      </c>
      <c r="AD332" s="22">
        <v>0</v>
      </c>
      <c r="AE332" s="22">
        <v>797.28</v>
      </c>
      <c r="AF332" s="22">
        <f t="shared" si="5"/>
        <v>797.28</v>
      </c>
      <c r="AG332" s="22">
        <v>0</v>
      </c>
      <c r="AH332" s="22">
        <v>797.28</v>
      </c>
      <c r="AI332" t="s">
        <v>562</v>
      </c>
      <c r="AJ332" t="s">
        <v>1306</v>
      </c>
    </row>
    <row r="333" spans="1:36" ht="43.5" outlineLevel="2" x14ac:dyDescent="0.35">
      <c r="A333" s="19" t="s">
        <v>551</v>
      </c>
      <c r="B333" s="19" t="s">
        <v>572</v>
      </c>
      <c r="C333" s="19" t="s">
        <v>573</v>
      </c>
      <c r="D333" s="19">
        <v>2018</v>
      </c>
      <c r="E333" s="19" t="s">
        <v>554</v>
      </c>
      <c r="F333" s="19">
        <v>80088817</v>
      </c>
      <c r="G333" s="19" t="s">
        <v>1686</v>
      </c>
      <c r="H333" s="19" t="s">
        <v>1687</v>
      </c>
      <c r="I333" s="19" t="s">
        <v>31</v>
      </c>
      <c r="J333" s="20">
        <v>1</v>
      </c>
      <c r="K333" s="21">
        <v>43340</v>
      </c>
      <c r="L333" s="21">
        <v>43347</v>
      </c>
      <c r="M333" s="21">
        <v>43969</v>
      </c>
      <c r="N333" s="24" t="s">
        <v>2448</v>
      </c>
      <c r="O333" s="19" t="s">
        <v>557</v>
      </c>
      <c r="P333" s="19" t="s">
        <v>665</v>
      </c>
      <c r="Q333" s="19" t="s">
        <v>569</v>
      </c>
      <c r="R333" s="19" t="s">
        <v>591</v>
      </c>
      <c r="S333" s="19" t="s">
        <v>1688</v>
      </c>
      <c r="T333" t="s">
        <v>139</v>
      </c>
      <c r="U333" s="22">
        <v>20615</v>
      </c>
      <c r="V333" s="22">
        <v>0</v>
      </c>
      <c r="W333" s="22">
        <v>2450.04</v>
      </c>
      <c r="X333" s="22">
        <v>0</v>
      </c>
      <c r="Y333" s="22">
        <v>940.75</v>
      </c>
      <c r="Z333" s="22">
        <v>0</v>
      </c>
      <c r="AA333" s="22">
        <v>0</v>
      </c>
      <c r="AB333" s="22">
        <v>-64.77</v>
      </c>
      <c r="AC333" s="22">
        <v>0</v>
      </c>
      <c r="AD333" s="22">
        <v>0</v>
      </c>
      <c r="AE333" s="22">
        <v>24005.79</v>
      </c>
      <c r="AF333" s="22">
        <f t="shared" si="5"/>
        <v>23941.02</v>
      </c>
      <c r="AG333" s="22">
        <v>0</v>
      </c>
      <c r="AH333" s="22">
        <v>23941.02</v>
      </c>
      <c r="AI333" t="s">
        <v>562</v>
      </c>
      <c r="AJ333" t="s">
        <v>1306</v>
      </c>
    </row>
    <row r="334" spans="1:36" ht="43.5" outlineLevel="2" x14ac:dyDescent="0.35">
      <c r="A334" s="19" t="s">
        <v>551</v>
      </c>
      <c r="B334" s="19" t="s">
        <v>627</v>
      </c>
      <c r="C334" s="19" t="s">
        <v>628</v>
      </c>
      <c r="D334" s="19">
        <v>2018</v>
      </c>
      <c r="E334" s="19" t="s">
        <v>554</v>
      </c>
      <c r="F334" s="19">
        <v>80088827</v>
      </c>
      <c r="G334" s="19" t="s">
        <v>1689</v>
      </c>
      <c r="H334" s="19" t="s">
        <v>1690</v>
      </c>
      <c r="I334" s="19" t="s">
        <v>31</v>
      </c>
      <c r="J334" s="20">
        <v>1</v>
      </c>
      <c r="K334" s="21">
        <v>43339</v>
      </c>
      <c r="L334" s="21">
        <v>43339</v>
      </c>
      <c r="M334" s="21">
        <v>43509</v>
      </c>
      <c r="N334" s="24" t="s">
        <v>2448</v>
      </c>
      <c r="O334" s="19" t="s">
        <v>603</v>
      </c>
      <c r="P334" s="19" t="s">
        <v>665</v>
      </c>
      <c r="Q334" s="19" t="s">
        <v>569</v>
      </c>
      <c r="R334" s="19" t="s">
        <v>570</v>
      </c>
      <c r="S334" s="19" t="s">
        <v>1691</v>
      </c>
      <c r="T334" t="s">
        <v>69</v>
      </c>
      <c r="U334" s="22">
        <v>0</v>
      </c>
      <c r="V334" s="22">
        <v>0</v>
      </c>
      <c r="W334" s="22">
        <v>2255.09</v>
      </c>
      <c r="X334" s="22">
        <v>0</v>
      </c>
      <c r="Y334" s="22">
        <v>339.42</v>
      </c>
      <c r="Z334" s="22">
        <v>0</v>
      </c>
      <c r="AA334" s="22">
        <v>0</v>
      </c>
      <c r="AB334" s="22">
        <v>-14.12</v>
      </c>
      <c r="AC334" s="22">
        <v>0</v>
      </c>
      <c r="AD334" s="22">
        <v>0</v>
      </c>
      <c r="AE334" s="22">
        <v>2594.5100000000002</v>
      </c>
      <c r="AF334" s="22">
        <f t="shared" si="5"/>
        <v>2580.3900000000003</v>
      </c>
      <c r="AG334" s="22">
        <v>0</v>
      </c>
      <c r="AH334" s="22">
        <v>2580.39</v>
      </c>
      <c r="AI334" t="s">
        <v>562</v>
      </c>
      <c r="AJ334" t="s">
        <v>1306</v>
      </c>
    </row>
    <row r="335" spans="1:36" ht="43.5" outlineLevel="2" x14ac:dyDescent="0.35">
      <c r="A335" s="19" t="s">
        <v>551</v>
      </c>
      <c r="B335" s="19" t="s">
        <v>605</v>
      </c>
      <c r="C335" s="19" t="s">
        <v>606</v>
      </c>
      <c r="D335" s="19">
        <v>2018</v>
      </c>
      <c r="E335" s="19" t="s">
        <v>554</v>
      </c>
      <c r="F335" s="19">
        <v>80088784</v>
      </c>
      <c r="G335" s="19" t="s">
        <v>1692</v>
      </c>
      <c r="H335" s="19" t="s">
        <v>1693</v>
      </c>
      <c r="I335" s="19" t="s">
        <v>31</v>
      </c>
      <c r="J335" s="20">
        <v>1</v>
      </c>
      <c r="K335" s="21">
        <v>43337</v>
      </c>
      <c r="L335" s="21">
        <v>43341</v>
      </c>
      <c r="M335" s="21">
        <v>43558</v>
      </c>
      <c r="N335" s="24" t="s">
        <v>2448</v>
      </c>
      <c r="O335" s="19" t="s">
        <v>557</v>
      </c>
      <c r="P335" s="19" t="s">
        <v>568</v>
      </c>
      <c r="Q335" s="19" t="s">
        <v>1694</v>
      </c>
      <c r="R335" s="19" t="s">
        <v>1373</v>
      </c>
      <c r="S335" s="19" t="s">
        <v>1695</v>
      </c>
      <c r="T335" t="s">
        <v>69</v>
      </c>
      <c r="U335" s="22">
        <v>0</v>
      </c>
      <c r="V335" s="22">
        <v>0</v>
      </c>
      <c r="W335" s="22">
        <v>2263.36</v>
      </c>
      <c r="X335" s="22">
        <v>0</v>
      </c>
      <c r="Y335" s="22">
        <v>268.58999999999997</v>
      </c>
      <c r="Z335" s="22">
        <v>0</v>
      </c>
      <c r="AA335" s="22">
        <v>0</v>
      </c>
      <c r="AB335" s="22">
        <v>0</v>
      </c>
      <c r="AC335" s="22">
        <v>0</v>
      </c>
      <c r="AD335" s="22">
        <v>0</v>
      </c>
      <c r="AE335" s="22">
        <v>2531.9499999999998</v>
      </c>
      <c r="AF335" s="22">
        <f t="shared" si="5"/>
        <v>2531.9499999999998</v>
      </c>
      <c r="AG335" s="22">
        <v>0</v>
      </c>
      <c r="AH335" s="22">
        <v>2531.9499999999998</v>
      </c>
      <c r="AI335" t="s">
        <v>562</v>
      </c>
      <c r="AJ335" t="s">
        <v>1306</v>
      </c>
    </row>
    <row r="336" spans="1:36" ht="43.5" outlineLevel="2" x14ac:dyDescent="0.35">
      <c r="A336" s="19" t="s">
        <v>551</v>
      </c>
      <c r="B336" s="19" t="s">
        <v>1350</v>
      </c>
      <c r="C336" s="19" t="s">
        <v>673</v>
      </c>
      <c r="D336" s="19">
        <v>2018</v>
      </c>
      <c r="E336" s="19" t="s">
        <v>554</v>
      </c>
      <c r="F336" s="19">
        <v>80088836</v>
      </c>
      <c r="G336" s="19" t="s">
        <v>1696</v>
      </c>
      <c r="H336" s="19" t="s">
        <v>1697</v>
      </c>
      <c r="I336" s="19" t="s">
        <v>31</v>
      </c>
      <c r="J336" s="20">
        <v>1</v>
      </c>
      <c r="K336" s="21">
        <v>43333</v>
      </c>
      <c r="L336" s="21">
        <v>43353</v>
      </c>
      <c r="M336" s="21">
        <v>43378</v>
      </c>
      <c r="N336" s="24" t="s">
        <v>2448</v>
      </c>
      <c r="O336" s="19" t="s">
        <v>557</v>
      </c>
      <c r="P336" s="19" t="s">
        <v>665</v>
      </c>
      <c r="Q336" s="19" t="s">
        <v>569</v>
      </c>
      <c r="R336" s="19" t="s">
        <v>570</v>
      </c>
      <c r="S336" s="19" t="s">
        <v>1698</v>
      </c>
      <c r="T336" t="s">
        <v>51</v>
      </c>
      <c r="U336" s="22">
        <v>0</v>
      </c>
      <c r="V336" s="22">
        <v>0</v>
      </c>
      <c r="W336" s="22">
        <v>189.7</v>
      </c>
      <c r="X336" s="22">
        <v>0</v>
      </c>
      <c r="Y336" s="22">
        <v>39.49</v>
      </c>
      <c r="Z336" s="22">
        <v>0</v>
      </c>
      <c r="AA336" s="22">
        <v>0</v>
      </c>
      <c r="AB336" s="22">
        <v>0</v>
      </c>
      <c r="AC336" s="22">
        <v>0</v>
      </c>
      <c r="AD336" s="22">
        <v>0</v>
      </c>
      <c r="AE336" s="22">
        <v>229.19</v>
      </c>
      <c r="AF336" s="22">
        <f t="shared" si="5"/>
        <v>229.19</v>
      </c>
      <c r="AG336" s="22">
        <v>0</v>
      </c>
      <c r="AH336" s="22">
        <v>229.19</v>
      </c>
      <c r="AI336" t="s">
        <v>562</v>
      </c>
      <c r="AJ336" t="s">
        <v>1306</v>
      </c>
    </row>
    <row r="337" spans="1:36" ht="58" outlineLevel="2" x14ac:dyDescent="0.35">
      <c r="A337" s="19" t="s">
        <v>551</v>
      </c>
      <c r="B337" s="19" t="s">
        <v>986</v>
      </c>
      <c r="C337" s="19" t="s">
        <v>553</v>
      </c>
      <c r="D337" s="19">
        <v>2018</v>
      </c>
      <c r="E337" s="19" t="s">
        <v>554</v>
      </c>
      <c r="F337" s="19">
        <v>80088791</v>
      </c>
      <c r="G337" s="19" t="s">
        <v>1699</v>
      </c>
      <c r="H337" s="19" t="s">
        <v>1700</v>
      </c>
      <c r="I337" s="19" t="s">
        <v>31</v>
      </c>
      <c r="J337" s="20">
        <v>1</v>
      </c>
      <c r="K337" s="21">
        <v>43331</v>
      </c>
      <c r="L337" s="21">
        <v>43332</v>
      </c>
      <c r="M337" s="21">
        <v>43993</v>
      </c>
      <c r="N337" s="24" t="s">
        <v>2448</v>
      </c>
      <c r="O337" s="19" t="s">
        <v>557</v>
      </c>
      <c r="P337" s="19" t="s">
        <v>568</v>
      </c>
      <c r="Q337" s="19" t="s">
        <v>655</v>
      </c>
      <c r="R337" s="19" t="s">
        <v>578</v>
      </c>
      <c r="S337" s="19" t="s">
        <v>1701</v>
      </c>
      <c r="T337" t="s">
        <v>169</v>
      </c>
      <c r="U337" s="22">
        <v>0</v>
      </c>
      <c r="V337" s="22">
        <v>0</v>
      </c>
      <c r="W337" s="22">
        <v>231.6</v>
      </c>
      <c r="X337" s="22">
        <v>0</v>
      </c>
      <c r="Y337" s="22">
        <v>55.13</v>
      </c>
      <c r="Z337" s="22">
        <v>0</v>
      </c>
      <c r="AA337" s="22">
        <v>0</v>
      </c>
      <c r="AB337" s="22">
        <v>0</v>
      </c>
      <c r="AC337" s="22">
        <v>0</v>
      </c>
      <c r="AD337" s="22">
        <v>0</v>
      </c>
      <c r="AE337" s="22">
        <v>286.73</v>
      </c>
      <c r="AF337" s="22">
        <f t="shared" si="5"/>
        <v>286.73</v>
      </c>
      <c r="AG337" s="22">
        <v>0</v>
      </c>
      <c r="AH337" s="22">
        <v>286.73</v>
      </c>
      <c r="AI337" t="s">
        <v>562</v>
      </c>
      <c r="AJ337" t="s">
        <v>1306</v>
      </c>
    </row>
    <row r="338" spans="1:36" ht="43.5" outlineLevel="2" x14ac:dyDescent="0.35">
      <c r="A338" s="19" t="s">
        <v>551</v>
      </c>
      <c r="B338" s="19" t="s">
        <v>945</v>
      </c>
      <c r="C338" s="19" t="s">
        <v>946</v>
      </c>
      <c r="D338" s="19">
        <v>2018</v>
      </c>
      <c r="E338" s="19" t="s">
        <v>554</v>
      </c>
      <c r="F338" s="19">
        <v>80088809</v>
      </c>
      <c r="G338" s="19" t="s">
        <v>1702</v>
      </c>
      <c r="H338" s="19" t="s">
        <v>1703</v>
      </c>
      <c r="I338" s="19" t="s">
        <v>31</v>
      </c>
      <c r="J338" s="20">
        <v>1</v>
      </c>
      <c r="K338" s="21">
        <v>43329</v>
      </c>
      <c r="L338" s="21">
        <v>43339</v>
      </c>
      <c r="M338" s="21">
        <v>43402</v>
      </c>
      <c r="N338" s="24" t="s">
        <v>2448</v>
      </c>
      <c r="O338" s="19" t="s">
        <v>603</v>
      </c>
      <c r="P338" s="19" t="s">
        <v>568</v>
      </c>
      <c r="Q338" s="19" t="s">
        <v>584</v>
      </c>
      <c r="R338" s="19" t="s">
        <v>591</v>
      </c>
      <c r="S338" s="19" t="s">
        <v>1704</v>
      </c>
      <c r="T338" t="s">
        <v>51</v>
      </c>
      <c r="U338" s="22">
        <v>0</v>
      </c>
      <c r="V338" s="22">
        <v>0</v>
      </c>
      <c r="W338" s="22">
        <v>1453.91</v>
      </c>
      <c r="X338" s="22">
        <v>0</v>
      </c>
      <c r="Y338" s="22">
        <v>608.25</v>
      </c>
      <c r="Z338" s="22">
        <v>0</v>
      </c>
      <c r="AA338" s="22">
        <v>0</v>
      </c>
      <c r="AB338" s="22">
        <v>0</v>
      </c>
      <c r="AC338" s="22">
        <v>0</v>
      </c>
      <c r="AD338" s="22">
        <v>0</v>
      </c>
      <c r="AE338" s="22">
        <v>2062.16</v>
      </c>
      <c r="AF338" s="22">
        <f t="shared" si="5"/>
        <v>2062.16</v>
      </c>
      <c r="AG338" s="22">
        <v>0</v>
      </c>
      <c r="AH338" s="22">
        <v>2062.16</v>
      </c>
      <c r="AI338" t="s">
        <v>562</v>
      </c>
      <c r="AJ338" t="s">
        <v>1306</v>
      </c>
    </row>
    <row r="339" spans="1:36" ht="58" outlineLevel="2" x14ac:dyDescent="0.35">
      <c r="A339" s="19" t="s">
        <v>551</v>
      </c>
      <c r="B339" s="19" t="s">
        <v>636</v>
      </c>
      <c r="C339" s="19" t="s">
        <v>594</v>
      </c>
      <c r="D339" s="19">
        <v>2018</v>
      </c>
      <c r="E339" s="19" t="s">
        <v>554</v>
      </c>
      <c r="F339" s="19">
        <v>80088782</v>
      </c>
      <c r="G339" s="19" t="s">
        <v>1705</v>
      </c>
      <c r="H339" s="19" t="s">
        <v>1706</v>
      </c>
      <c r="I339" s="19" t="s">
        <v>31</v>
      </c>
      <c r="J339" s="20">
        <v>1</v>
      </c>
      <c r="K339" s="21">
        <v>43328</v>
      </c>
      <c r="L339" s="21">
        <v>43332</v>
      </c>
      <c r="M339" s="21">
        <v>43426</v>
      </c>
      <c r="N339" s="24" t="s">
        <v>2448</v>
      </c>
      <c r="O339" s="19" t="s">
        <v>557</v>
      </c>
      <c r="P339" s="19" t="s">
        <v>665</v>
      </c>
      <c r="Q339" s="19" t="s">
        <v>569</v>
      </c>
      <c r="R339" s="19" t="s">
        <v>570</v>
      </c>
      <c r="S339" s="19" t="s">
        <v>1707</v>
      </c>
      <c r="T339" t="s">
        <v>33</v>
      </c>
      <c r="U339" s="22">
        <v>0</v>
      </c>
      <c r="V339" s="22">
        <v>0</v>
      </c>
      <c r="W339" s="22">
        <v>1044.81</v>
      </c>
      <c r="X339" s="22">
        <v>0</v>
      </c>
      <c r="Y339" s="22">
        <v>85.64</v>
      </c>
      <c r="Z339" s="22">
        <v>0</v>
      </c>
      <c r="AA339" s="22">
        <v>0</v>
      </c>
      <c r="AB339" s="22">
        <v>0</v>
      </c>
      <c r="AC339" s="22">
        <v>0</v>
      </c>
      <c r="AD339" s="22">
        <v>0</v>
      </c>
      <c r="AE339" s="22">
        <v>1130.45</v>
      </c>
      <c r="AF339" s="22">
        <f t="shared" si="5"/>
        <v>1130.45</v>
      </c>
      <c r="AG339" s="22">
        <v>0</v>
      </c>
      <c r="AH339" s="22">
        <v>1130.45</v>
      </c>
      <c r="AI339" t="s">
        <v>562</v>
      </c>
      <c r="AJ339" t="s">
        <v>1306</v>
      </c>
    </row>
    <row r="340" spans="1:36" ht="43.5" outlineLevel="2" x14ac:dyDescent="0.35">
      <c r="A340" s="19" t="s">
        <v>551</v>
      </c>
      <c r="B340" s="19" t="s">
        <v>605</v>
      </c>
      <c r="C340" s="19" t="s">
        <v>606</v>
      </c>
      <c r="D340" s="19">
        <v>2018</v>
      </c>
      <c r="E340" s="19" t="s">
        <v>554</v>
      </c>
      <c r="F340" s="19">
        <v>80088794</v>
      </c>
      <c r="G340" s="19" t="s">
        <v>1708</v>
      </c>
      <c r="H340" s="19" t="s">
        <v>1709</v>
      </c>
      <c r="I340" s="19" t="s">
        <v>31</v>
      </c>
      <c r="J340" s="20">
        <v>1</v>
      </c>
      <c r="K340" s="21">
        <v>43327</v>
      </c>
      <c r="L340" s="21">
        <v>43332</v>
      </c>
      <c r="M340" s="21">
        <v>43440</v>
      </c>
      <c r="N340" s="24" t="s">
        <v>2448</v>
      </c>
      <c r="O340" s="19" t="s">
        <v>557</v>
      </c>
      <c r="P340" s="19" t="s">
        <v>665</v>
      </c>
      <c r="Q340" s="19" t="s">
        <v>661</v>
      </c>
      <c r="R340" s="19" t="s">
        <v>570</v>
      </c>
      <c r="S340" s="19" t="s">
        <v>1710</v>
      </c>
      <c r="T340" t="s">
        <v>69</v>
      </c>
      <c r="U340" s="22">
        <v>0</v>
      </c>
      <c r="V340" s="22">
        <v>0</v>
      </c>
      <c r="W340" s="22">
        <v>1874.19</v>
      </c>
      <c r="X340" s="22">
        <v>0</v>
      </c>
      <c r="Y340" s="22">
        <v>548.13</v>
      </c>
      <c r="Z340" s="22">
        <v>0</v>
      </c>
      <c r="AA340" s="22">
        <v>0</v>
      </c>
      <c r="AB340" s="22">
        <v>-27.52</v>
      </c>
      <c r="AC340" s="22">
        <v>0</v>
      </c>
      <c r="AD340" s="22">
        <v>0</v>
      </c>
      <c r="AE340" s="22">
        <v>2422.3200000000002</v>
      </c>
      <c r="AF340" s="22">
        <f t="shared" si="5"/>
        <v>2394.8000000000002</v>
      </c>
      <c r="AG340" s="22">
        <v>0</v>
      </c>
      <c r="AH340" s="22">
        <v>2394.8000000000002</v>
      </c>
      <c r="AI340" t="s">
        <v>562</v>
      </c>
      <c r="AJ340" t="s">
        <v>1306</v>
      </c>
    </row>
    <row r="341" spans="1:36" ht="58" outlineLevel="2" x14ac:dyDescent="0.35">
      <c r="A341" s="19" t="s">
        <v>551</v>
      </c>
      <c r="B341" s="19" t="s">
        <v>599</v>
      </c>
      <c r="C341" s="19" t="s">
        <v>600</v>
      </c>
      <c r="D341" s="19">
        <v>2018</v>
      </c>
      <c r="E341" s="19" t="s">
        <v>554</v>
      </c>
      <c r="F341" s="19">
        <v>80088790</v>
      </c>
      <c r="G341" s="19" t="s">
        <v>1711</v>
      </c>
      <c r="H341" s="19" t="s">
        <v>1712</v>
      </c>
      <c r="I341" s="19" t="s">
        <v>31</v>
      </c>
      <c r="J341" s="20">
        <v>1</v>
      </c>
      <c r="K341" s="21">
        <v>43322</v>
      </c>
      <c r="L341" s="21">
        <v>43322</v>
      </c>
      <c r="M341" s="21">
        <v>43440</v>
      </c>
      <c r="N341" s="24" t="s">
        <v>2448</v>
      </c>
      <c r="O341" s="19" t="s">
        <v>557</v>
      </c>
      <c r="P341" s="19" t="s">
        <v>576</v>
      </c>
      <c r="Q341" s="19" t="s">
        <v>625</v>
      </c>
      <c r="R341" s="19" t="s">
        <v>578</v>
      </c>
      <c r="S341" s="19" t="s">
        <v>1713</v>
      </c>
      <c r="T341" t="s">
        <v>51</v>
      </c>
      <c r="U341" s="22">
        <v>0</v>
      </c>
      <c r="V341" s="22">
        <v>0</v>
      </c>
      <c r="W341" s="22">
        <v>352.91</v>
      </c>
      <c r="X341" s="22">
        <v>0</v>
      </c>
      <c r="Y341" s="22">
        <v>76.650000000000006</v>
      </c>
      <c r="Z341" s="22">
        <v>0</v>
      </c>
      <c r="AA341" s="22">
        <v>0</v>
      </c>
      <c r="AB341" s="22">
        <v>-8.48</v>
      </c>
      <c r="AC341" s="22">
        <v>0</v>
      </c>
      <c r="AD341" s="22">
        <v>0</v>
      </c>
      <c r="AE341" s="22">
        <v>429.56</v>
      </c>
      <c r="AF341" s="22">
        <f t="shared" si="5"/>
        <v>421.08</v>
      </c>
      <c r="AG341" s="22">
        <v>0</v>
      </c>
      <c r="AH341" s="22">
        <v>421.08</v>
      </c>
      <c r="AI341" t="s">
        <v>562</v>
      </c>
      <c r="AJ341" t="s">
        <v>1306</v>
      </c>
    </row>
    <row r="342" spans="1:36" ht="29" outlineLevel="2" x14ac:dyDescent="0.35">
      <c r="A342" s="19" t="s">
        <v>551</v>
      </c>
      <c r="B342" s="19" t="s">
        <v>798</v>
      </c>
      <c r="C342" s="19" t="s">
        <v>673</v>
      </c>
      <c r="D342" s="19">
        <v>2018</v>
      </c>
      <c r="E342" s="19" t="s">
        <v>554</v>
      </c>
      <c r="F342" s="19">
        <v>80088797</v>
      </c>
      <c r="G342" s="19" t="s">
        <v>1714</v>
      </c>
      <c r="H342" s="19" t="s">
        <v>1715</v>
      </c>
      <c r="I342" s="19" t="s">
        <v>31</v>
      </c>
      <c r="J342" s="20">
        <v>1</v>
      </c>
      <c r="K342" s="21">
        <v>43321</v>
      </c>
      <c r="L342" s="21">
        <v>43325</v>
      </c>
      <c r="M342" s="21">
        <v>43621</v>
      </c>
      <c r="N342" s="24" t="s">
        <v>2448</v>
      </c>
      <c r="O342" s="19" t="s">
        <v>557</v>
      </c>
      <c r="P342" s="19" t="s">
        <v>568</v>
      </c>
      <c r="Q342" s="19" t="s">
        <v>735</v>
      </c>
      <c r="R342" s="19" t="s">
        <v>570</v>
      </c>
      <c r="S342" s="19" t="s">
        <v>1716</v>
      </c>
      <c r="T342" t="s">
        <v>51</v>
      </c>
      <c r="U342" s="22">
        <v>0</v>
      </c>
      <c r="V342" s="22">
        <v>0</v>
      </c>
      <c r="W342" s="22">
        <v>2259.98</v>
      </c>
      <c r="X342" s="22">
        <v>0</v>
      </c>
      <c r="Y342" s="22">
        <v>415.27</v>
      </c>
      <c r="Z342" s="22">
        <v>0</v>
      </c>
      <c r="AA342" s="22">
        <v>0</v>
      </c>
      <c r="AB342" s="22">
        <v>0</v>
      </c>
      <c r="AC342" s="22">
        <v>0</v>
      </c>
      <c r="AD342" s="22">
        <v>0</v>
      </c>
      <c r="AE342" s="22">
        <v>2675.25</v>
      </c>
      <c r="AF342" s="22">
        <f t="shared" si="5"/>
        <v>2675.25</v>
      </c>
      <c r="AG342" s="22">
        <v>0</v>
      </c>
      <c r="AH342" s="22">
        <v>2675.25</v>
      </c>
      <c r="AI342" t="s">
        <v>562</v>
      </c>
      <c r="AJ342" t="s">
        <v>1306</v>
      </c>
    </row>
    <row r="343" spans="1:36" ht="43.5" outlineLevel="2" x14ac:dyDescent="0.35">
      <c r="A343" s="19" t="s">
        <v>551</v>
      </c>
      <c r="B343" s="19" t="s">
        <v>636</v>
      </c>
      <c r="C343" s="19" t="s">
        <v>594</v>
      </c>
      <c r="D343" s="19">
        <v>2018</v>
      </c>
      <c r="E343" s="19" t="s">
        <v>554</v>
      </c>
      <c r="F343" s="19">
        <v>80088819</v>
      </c>
      <c r="G343" s="19" t="s">
        <v>1717</v>
      </c>
      <c r="H343" s="19" t="s">
        <v>1718</v>
      </c>
      <c r="I343" s="19" t="s">
        <v>31</v>
      </c>
      <c r="J343" s="20">
        <v>1</v>
      </c>
      <c r="K343" s="21">
        <v>43320</v>
      </c>
      <c r="L343" s="21">
        <v>43322</v>
      </c>
      <c r="M343" s="21">
        <v>44028</v>
      </c>
      <c r="N343" s="24" t="s">
        <v>2448</v>
      </c>
      <c r="O343" s="19" t="s">
        <v>557</v>
      </c>
      <c r="P343" s="19" t="s">
        <v>665</v>
      </c>
      <c r="Q343" s="19" t="s">
        <v>597</v>
      </c>
      <c r="R343" s="19" t="s">
        <v>591</v>
      </c>
      <c r="S343" s="19" t="s">
        <v>1719</v>
      </c>
      <c r="T343" t="s">
        <v>33</v>
      </c>
      <c r="U343" s="22">
        <v>10818.03</v>
      </c>
      <c r="V343" s="22">
        <v>0</v>
      </c>
      <c r="W343" s="22">
        <v>6979.26</v>
      </c>
      <c r="X343" s="22">
        <v>0</v>
      </c>
      <c r="Y343" s="22">
        <v>4761.01</v>
      </c>
      <c r="Z343" s="22">
        <v>0</v>
      </c>
      <c r="AA343" s="22">
        <v>0</v>
      </c>
      <c r="AB343" s="22">
        <v>0</v>
      </c>
      <c r="AC343" s="22">
        <v>0</v>
      </c>
      <c r="AD343" s="22">
        <v>0</v>
      </c>
      <c r="AE343" s="22">
        <v>22558.3</v>
      </c>
      <c r="AF343" s="22">
        <f t="shared" si="5"/>
        <v>22558.3</v>
      </c>
      <c r="AG343" s="22">
        <v>0</v>
      </c>
      <c r="AH343" s="22">
        <v>22558.3</v>
      </c>
      <c r="AI343" t="s">
        <v>562</v>
      </c>
      <c r="AJ343" t="s">
        <v>1306</v>
      </c>
    </row>
    <row r="344" spans="1:36" ht="58" outlineLevel="2" x14ac:dyDescent="0.35">
      <c r="A344" s="19" t="s">
        <v>551</v>
      </c>
      <c r="B344" s="19" t="s">
        <v>636</v>
      </c>
      <c r="C344" s="19" t="s">
        <v>594</v>
      </c>
      <c r="D344" s="19">
        <v>2018</v>
      </c>
      <c r="E344" s="19" t="s">
        <v>554</v>
      </c>
      <c r="F344" s="19">
        <v>80088780</v>
      </c>
      <c r="G344" s="19" t="s">
        <v>1720</v>
      </c>
      <c r="H344" s="19" t="s">
        <v>1721</v>
      </c>
      <c r="I344" s="19" t="s">
        <v>31</v>
      </c>
      <c r="J344" s="20">
        <v>1</v>
      </c>
      <c r="K344" s="21">
        <v>43318</v>
      </c>
      <c r="L344" s="21">
        <v>43320</v>
      </c>
      <c r="M344" s="21">
        <v>43390</v>
      </c>
      <c r="N344" s="24" t="s">
        <v>2448</v>
      </c>
      <c r="O344" s="19" t="s">
        <v>557</v>
      </c>
      <c r="P344" s="19" t="s">
        <v>609</v>
      </c>
      <c r="Q344" s="19" t="s">
        <v>704</v>
      </c>
      <c r="R344" s="19" t="s">
        <v>616</v>
      </c>
      <c r="S344" s="19" t="s">
        <v>1722</v>
      </c>
      <c r="T344" t="s">
        <v>33</v>
      </c>
      <c r="U344" s="22">
        <v>148.44999999999999</v>
      </c>
      <c r="V344" s="22">
        <v>0</v>
      </c>
      <c r="W344" s="22">
        <v>276.25</v>
      </c>
      <c r="X344" s="22">
        <v>0</v>
      </c>
      <c r="Y344" s="22">
        <v>46.02</v>
      </c>
      <c r="Z344" s="22">
        <v>0</v>
      </c>
      <c r="AA344" s="22">
        <v>0</v>
      </c>
      <c r="AB344" s="22">
        <v>0</v>
      </c>
      <c r="AC344" s="22">
        <v>0</v>
      </c>
      <c r="AD344" s="22">
        <v>0</v>
      </c>
      <c r="AE344" s="22">
        <v>470.72</v>
      </c>
      <c r="AF344" s="22">
        <f t="shared" si="5"/>
        <v>470.72</v>
      </c>
      <c r="AG344" s="22">
        <v>0</v>
      </c>
      <c r="AH344" s="22">
        <v>470.72</v>
      </c>
      <c r="AI344" t="s">
        <v>562</v>
      </c>
      <c r="AJ344" t="s">
        <v>1306</v>
      </c>
    </row>
    <row r="345" spans="1:36" ht="116" outlineLevel="2" x14ac:dyDescent="0.35">
      <c r="A345" s="19" t="s">
        <v>551</v>
      </c>
      <c r="B345" s="19" t="s">
        <v>636</v>
      </c>
      <c r="C345" s="19" t="s">
        <v>594</v>
      </c>
      <c r="D345" s="19">
        <v>2018</v>
      </c>
      <c r="E345" s="19" t="s">
        <v>554</v>
      </c>
      <c r="F345" s="19">
        <v>80088793</v>
      </c>
      <c r="G345" s="19" t="s">
        <v>1723</v>
      </c>
      <c r="H345" s="19" t="s">
        <v>1724</v>
      </c>
      <c r="I345" s="19" t="s">
        <v>31</v>
      </c>
      <c r="J345" s="20">
        <v>1</v>
      </c>
      <c r="K345" s="21">
        <v>43314</v>
      </c>
      <c r="L345" s="21">
        <v>43320</v>
      </c>
      <c r="M345" s="21">
        <v>43452</v>
      </c>
      <c r="N345" s="24" t="s">
        <v>2448</v>
      </c>
      <c r="O345" s="19" t="s">
        <v>557</v>
      </c>
      <c r="P345" s="19" t="s">
        <v>665</v>
      </c>
      <c r="Q345" s="19" t="s">
        <v>735</v>
      </c>
      <c r="R345" s="19" t="s">
        <v>570</v>
      </c>
      <c r="S345" s="19" t="s">
        <v>1725</v>
      </c>
      <c r="T345" t="s">
        <v>33</v>
      </c>
      <c r="U345" s="22">
        <v>0</v>
      </c>
      <c r="V345" s="22">
        <v>0</v>
      </c>
      <c r="W345" s="22">
        <v>75.56</v>
      </c>
      <c r="X345" s="22">
        <v>0</v>
      </c>
      <c r="Y345" s="22">
        <v>11.85</v>
      </c>
      <c r="Z345" s="22">
        <v>0</v>
      </c>
      <c r="AA345" s="22">
        <v>0</v>
      </c>
      <c r="AB345" s="22">
        <v>0</v>
      </c>
      <c r="AC345" s="22">
        <v>0</v>
      </c>
      <c r="AD345" s="22">
        <v>0</v>
      </c>
      <c r="AE345" s="22">
        <v>87.41</v>
      </c>
      <c r="AF345" s="22">
        <f t="shared" si="5"/>
        <v>87.41</v>
      </c>
      <c r="AG345" s="22">
        <v>0</v>
      </c>
      <c r="AH345" s="22">
        <v>87.41</v>
      </c>
      <c r="AI345" t="s">
        <v>562</v>
      </c>
      <c r="AJ345" t="s">
        <v>1306</v>
      </c>
    </row>
    <row r="346" spans="1:36" ht="87" outlineLevel="2" x14ac:dyDescent="0.35">
      <c r="A346" s="19" t="s">
        <v>551</v>
      </c>
      <c r="B346" s="19" t="s">
        <v>986</v>
      </c>
      <c r="C346" s="19" t="s">
        <v>553</v>
      </c>
      <c r="D346" s="19">
        <v>2018</v>
      </c>
      <c r="E346" s="19" t="s">
        <v>554</v>
      </c>
      <c r="F346" s="19">
        <v>80088820</v>
      </c>
      <c r="G346" s="19" t="s">
        <v>1726</v>
      </c>
      <c r="H346" s="19" t="s">
        <v>1727</v>
      </c>
      <c r="I346" s="19" t="s">
        <v>31</v>
      </c>
      <c r="J346" s="20">
        <v>1</v>
      </c>
      <c r="K346" s="21">
        <v>43312</v>
      </c>
      <c r="L346" s="21">
        <v>43313</v>
      </c>
      <c r="M346" s="21">
        <v>43335</v>
      </c>
      <c r="N346" s="24" t="s">
        <v>2448</v>
      </c>
      <c r="O346" s="19" t="s">
        <v>557</v>
      </c>
      <c r="P346" s="19" t="s">
        <v>568</v>
      </c>
      <c r="Q346" s="19" t="s">
        <v>1728</v>
      </c>
      <c r="R346" s="19" t="s">
        <v>578</v>
      </c>
      <c r="S346" s="19" t="s">
        <v>1729</v>
      </c>
      <c r="T346" t="s">
        <v>169</v>
      </c>
      <c r="U346" s="22">
        <v>0</v>
      </c>
      <c r="V346" s="22">
        <v>0</v>
      </c>
      <c r="W346" s="22">
        <v>114.84</v>
      </c>
      <c r="X346" s="22">
        <v>0</v>
      </c>
      <c r="Y346" s="22">
        <v>18.920000000000002</v>
      </c>
      <c r="Z346" s="22">
        <v>0</v>
      </c>
      <c r="AA346" s="22">
        <v>0</v>
      </c>
      <c r="AB346" s="22">
        <v>0</v>
      </c>
      <c r="AC346" s="22">
        <v>0</v>
      </c>
      <c r="AD346" s="22">
        <v>0</v>
      </c>
      <c r="AE346" s="22">
        <v>133.76</v>
      </c>
      <c r="AF346" s="22">
        <f t="shared" si="5"/>
        <v>133.76</v>
      </c>
      <c r="AG346" s="22">
        <v>0</v>
      </c>
      <c r="AH346" s="22">
        <v>133.76</v>
      </c>
      <c r="AI346" t="s">
        <v>562</v>
      </c>
      <c r="AJ346" t="s">
        <v>1306</v>
      </c>
    </row>
    <row r="347" spans="1:36" ht="58" outlineLevel="2" x14ac:dyDescent="0.35">
      <c r="A347" s="19" t="s">
        <v>551</v>
      </c>
      <c r="B347" s="19" t="s">
        <v>996</v>
      </c>
      <c r="C347" s="19" t="s">
        <v>997</v>
      </c>
      <c r="D347" s="19">
        <v>2018</v>
      </c>
      <c r="E347" s="19" t="s">
        <v>554</v>
      </c>
      <c r="F347" s="19">
        <v>80088816</v>
      </c>
      <c r="G347" s="19" t="s">
        <v>1730</v>
      </c>
      <c r="H347" s="19" t="s">
        <v>1731</v>
      </c>
      <c r="I347" s="19" t="s">
        <v>31</v>
      </c>
      <c r="J347" s="20">
        <v>1</v>
      </c>
      <c r="K347" s="21">
        <v>43311</v>
      </c>
      <c r="L347" s="21">
        <v>43312</v>
      </c>
      <c r="M347" s="21">
        <v>43564</v>
      </c>
      <c r="N347" s="24" t="s">
        <v>2448</v>
      </c>
      <c r="O347" s="19" t="s">
        <v>557</v>
      </c>
      <c r="P347" s="19" t="s">
        <v>576</v>
      </c>
      <c r="Q347" s="19" t="s">
        <v>577</v>
      </c>
      <c r="R347" s="19" t="s">
        <v>616</v>
      </c>
      <c r="S347" s="19" t="s">
        <v>1732</v>
      </c>
      <c r="T347" t="s">
        <v>51</v>
      </c>
      <c r="U347" s="22">
        <v>0</v>
      </c>
      <c r="V347" s="22">
        <v>0</v>
      </c>
      <c r="W347" s="22">
        <v>597.80999999999995</v>
      </c>
      <c r="X347" s="22">
        <v>0</v>
      </c>
      <c r="Y347" s="22">
        <v>52.94</v>
      </c>
      <c r="Z347" s="22">
        <v>0</v>
      </c>
      <c r="AA347" s="22">
        <v>0</v>
      </c>
      <c r="AB347" s="22">
        <v>0</v>
      </c>
      <c r="AC347" s="22">
        <v>0</v>
      </c>
      <c r="AD347" s="22">
        <v>0</v>
      </c>
      <c r="AE347" s="22">
        <v>650.75</v>
      </c>
      <c r="AF347" s="22">
        <f t="shared" si="5"/>
        <v>650.75</v>
      </c>
      <c r="AG347" s="22">
        <v>0</v>
      </c>
      <c r="AH347" s="22">
        <v>650.75</v>
      </c>
      <c r="AI347" t="s">
        <v>562</v>
      </c>
      <c r="AJ347" t="s">
        <v>1306</v>
      </c>
    </row>
    <row r="348" spans="1:36" ht="43.5" outlineLevel="2" x14ac:dyDescent="0.35">
      <c r="A348" s="19" t="s">
        <v>551</v>
      </c>
      <c r="B348" s="19" t="s">
        <v>636</v>
      </c>
      <c r="C348" s="19" t="s">
        <v>594</v>
      </c>
      <c r="D348" s="19">
        <v>2018</v>
      </c>
      <c r="E348" s="19" t="s">
        <v>554</v>
      </c>
      <c r="F348" s="19">
        <v>80088779</v>
      </c>
      <c r="G348" s="19" t="s">
        <v>1733</v>
      </c>
      <c r="H348" s="19" t="s">
        <v>1734</v>
      </c>
      <c r="I348" s="19" t="s">
        <v>31</v>
      </c>
      <c r="J348" s="20">
        <v>1</v>
      </c>
      <c r="K348" s="21">
        <v>43308</v>
      </c>
      <c r="L348" s="21">
        <v>43308</v>
      </c>
      <c r="M348" s="21">
        <v>43475</v>
      </c>
      <c r="N348" s="24" t="s">
        <v>2448</v>
      </c>
      <c r="O348" s="19" t="s">
        <v>557</v>
      </c>
      <c r="P348" s="19" t="s">
        <v>609</v>
      </c>
      <c r="Q348" s="19" t="s">
        <v>597</v>
      </c>
      <c r="R348" s="19" t="s">
        <v>570</v>
      </c>
      <c r="S348" s="19" t="s">
        <v>1735</v>
      </c>
      <c r="T348" t="s">
        <v>33</v>
      </c>
      <c r="U348" s="22">
        <v>1337.5</v>
      </c>
      <c r="V348" s="22">
        <v>0</v>
      </c>
      <c r="W348" s="22">
        <v>1689.26</v>
      </c>
      <c r="X348" s="22">
        <v>0</v>
      </c>
      <c r="Y348" s="22">
        <v>414.66</v>
      </c>
      <c r="Z348" s="22">
        <v>0</v>
      </c>
      <c r="AA348" s="22">
        <v>0</v>
      </c>
      <c r="AB348" s="22">
        <v>0</v>
      </c>
      <c r="AC348" s="22">
        <v>0</v>
      </c>
      <c r="AD348" s="22">
        <v>0</v>
      </c>
      <c r="AE348" s="22">
        <v>3441.42</v>
      </c>
      <c r="AF348" s="22">
        <f t="shared" si="5"/>
        <v>3441.42</v>
      </c>
      <c r="AG348" s="22">
        <v>0</v>
      </c>
      <c r="AH348" s="22">
        <v>3441.42</v>
      </c>
      <c r="AI348" t="s">
        <v>562</v>
      </c>
      <c r="AJ348" t="s">
        <v>1306</v>
      </c>
    </row>
    <row r="349" spans="1:36" ht="72.5" outlineLevel="2" x14ac:dyDescent="0.35">
      <c r="A349" s="19" t="s">
        <v>551</v>
      </c>
      <c r="B349" s="19" t="s">
        <v>1015</v>
      </c>
      <c r="C349" s="19" t="s">
        <v>1016</v>
      </c>
      <c r="D349" s="19">
        <v>2018</v>
      </c>
      <c r="E349" s="19" t="s">
        <v>554</v>
      </c>
      <c r="F349" s="19">
        <v>80088806</v>
      </c>
      <c r="G349" s="19" t="s">
        <v>1736</v>
      </c>
      <c r="H349" s="19" t="s">
        <v>1737</v>
      </c>
      <c r="I349" s="19" t="s">
        <v>31</v>
      </c>
      <c r="J349" s="20">
        <v>1</v>
      </c>
      <c r="K349" s="21">
        <v>43306</v>
      </c>
      <c r="L349" s="21">
        <v>43307</v>
      </c>
      <c r="M349" s="21">
        <v>43403</v>
      </c>
      <c r="N349" s="24" t="s">
        <v>2448</v>
      </c>
      <c r="O349" s="19" t="s">
        <v>557</v>
      </c>
      <c r="P349" s="19" t="s">
        <v>609</v>
      </c>
      <c r="Q349" s="19" t="s">
        <v>590</v>
      </c>
      <c r="R349" s="19" t="s">
        <v>570</v>
      </c>
      <c r="S349" s="19" t="s">
        <v>1738</v>
      </c>
      <c r="T349" t="s">
        <v>1021</v>
      </c>
      <c r="U349" s="22">
        <v>0</v>
      </c>
      <c r="V349" s="22">
        <v>0</v>
      </c>
      <c r="W349" s="22">
        <v>391.8</v>
      </c>
      <c r="X349" s="22">
        <v>0</v>
      </c>
      <c r="Y349" s="22">
        <v>60.06</v>
      </c>
      <c r="Z349" s="22">
        <v>0</v>
      </c>
      <c r="AA349" s="22">
        <v>0</v>
      </c>
      <c r="AB349" s="22">
        <v>0</v>
      </c>
      <c r="AC349" s="22">
        <v>0</v>
      </c>
      <c r="AD349" s="22">
        <v>0</v>
      </c>
      <c r="AE349" s="22">
        <v>451.86</v>
      </c>
      <c r="AF349" s="22">
        <f t="shared" si="5"/>
        <v>451.86</v>
      </c>
      <c r="AG349" s="22">
        <v>0</v>
      </c>
      <c r="AH349" s="22">
        <v>451.86</v>
      </c>
      <c r="AI349" t="s">
        <v>562</v>
      </c>
      <c r="AJ349" t="s">
        <v>1306</v>
      </c>
    </row>
    <row r="350" spans="1:36" ht="72.5" outlineLevel="2" x14ac:dyDescent="0.35">
      <c r="A350" s="19" t="s">
        <v>551</v>
      </c>
      <c r="B350" s="19" t="s">
        <v>1258</v>
      </c>
      <c r="C350" s="19" t="s">
        <v>1259</v>
      </c>
      <c r="D350" s="19">
        <v>2018</v>
      </c>
      <c r="E350" s="19" t="s">
        <v>554</v>
      </c>
      <c r="F350" s="19">
        <v>80088815</v>
      </c>
      <c r="G350" s="19" t="s">
        <v>1739</v>
      </c>
      <c r="H350" s="19" t="s">
        <v>1740</v>
      </c>
      <c r="I350" s="19" t="s">
        <v>31</v>
      </c>
      <c r="J350" s="20">
        <v>1</v>
      </c>
      <c r="K350" s="21">
        <v>43305</v>
      </c>
      <c r="L350" s="21">
        <v>43311</v>
      </c>
      <c r="M350" s="21">
        <v>43357</v>
      </c>
      <c r="N350" s="24" t="s">
        <v>2448</v>
      </c>
      <c r="O350" s="19" t="s">
        <v>557</v>
      </c>
      <c r="P350" s="19" t="s">
        <v>558</v>
      </c>
      <c r="Q350" s="19" t="s">
        <v>860</v>
      </c>
      <c r="R350" s="19" t="s">
        <v>1741</v>
      </c>
      <c r="S350" s="19" t="s">
        <v>1742</v>
      </c>
      <c r="T350" t="s">
        <v>69</v>
      </c>
      <c r="U350" s="22">
        <v>0</v>
      </c>
      <c r="V350" s="22">
        <v>0</v>
      </c>
      <c r="W350" s="22">
        <v>0</v>
      </c>
      <c r="X350" s="22">
        <v>0</v>
      </c>
      <c r="Y350" s="22">
        <v>0</v>
      </c>
      <c r="Z350" s="22">
        <v>0</v>
      </c>
      <c r="AA350" s="22">
        <v>0</v>
      </c>
      <c r="AB350" s="22">
        <v>0</v>
      </c>
      <c r="AC350" s="22">
        <v>0</v>
      </c>
      <c r="AD350" s="22">
        <v>0</v>
      </c>
      <c r="AE350" s="22">
        <v>0</v>
      </c>
      <c r="AF350" s="22">
        <f t="shared" si="5"/>
        <v>0</v>
      </c>
      <c r="AG350" s="22">
        <v>0</v>
      </c>
      <c r="AH350" s="22">
        <v>0</v>
      </c>
      <c r="AI350" t="s">
        <v>562</v>
      </c>
      <c r="AJ350" t="s">
        <v>1306</v>
      </c>
    </row>
    <row r="351" spans="1:36" ht="43.5" outlineLevel="2" x14ac:dyDescent="0.35">
      <c r="A351" s="19" t="s">
        <v>551</v>
      </c>
      <c r="B351" s="19" t="s">
        <v>1001</v>
      </c>
      <c r="C351" s="19" t="s">
        <v>1002</v>
      </c>
      <c r="D351" s="19">
        <v>2018</v>
      </c>
      <c r="E351" s="19" t="s">
        <v>554</v>
      </c>
      <c r="F351" s="19">
        <v>80088929</v>
      </c>
      <c r="G351" s="19" t="s">
        <v>1743</v>
      </c>
      <c r="H351" s="19" t="s">
        <v>1744</v>
      </c>
      <c r="I351" s="19" t="s">
        <v>31</v>
      </c>
      <c r="J351" s="20">
        <v>1</v>
      </c>
      <c r="K351" s="21">
        <v>43305</v>
      </c>
      <c r="L351" s="21">
        <v>43307</v>
      </c>
      <c r="M351" s="21">
        <v>43354</v>
      </c>
      <c r="N351" s="24" t="s">
        <v>2448</v>
      </c>
      <c r="O351" s="19" t="s">
        <v>557</v>
      </c>
      <c r="P351" s="19" t="s">
        <v>609</v>
      </c>
      <c r="Q351" s="19" t="s">
        <v>1211</v>
      </c>
      <c r="R351" s="19" t="s">
        <v>616</v>
      </c>
      <c r="S351" s="19" t="s">
        <v>1745</v>
      </c>
      <c r="T351" t="s">
        <v>51</v>
      </c>
      <c r="U351" s="22">
        <v>0</v>
      </c>
      <c r="V351" s="22">
        <v>0</v>
      </c>
      <c r="W351" s="22">
        <v>324.92</v>
      </c>
      <c r="X351" s="22">
        <v>0</v>
      </c>
      <c r="Y351" s="22">
        <v>23.79</v>
      </c>
      <c r="Z351" s="22">
        <v>0</v>
      </c>
      <c r="AA351" s="22">
        <v>0</v>
      </c>
      <c r="AB351" s="22">
        <v>0</v>
      </c>
      <c r="AC351" s="22">
        <v>0</v>
      </c>
      <c r="AD351" s="22">
        <v>0</v>
      </c>
      <c r="AE351" s="22">
        <v>348.71</v>
      </c>
      <c r="AF351" s="22">
        <f t="shared" si="5"/>
        <v>348.71</v>
      </c>
      <c r="AG351" s="22">
        <v>0</v>
      </c>
      <c r="AH351" s="22">
        <v>348.71</v>
      </c>
      <c r="AI351" t="s">
        <v>562</v>
      </c>
      <c r="AJ351" t="s">
        <v>1306</v>
      </c>
    </row>
    <row r="352" spans="1:36" ht="43.5" outlineLevel="2" x14ac:dyDescent="0.35">
      <c r="A352" s="19" t="s">
        <v>551</v>
      </c>
      <c r="B352" s="19" t="s">
        <v>945</v>
      </c>
      <c r="C352" s="19" t="s">
        <v>946</v>
      </c>
      <c r="D352" s="19">
        <v>2018</v>
      </c>
      <c r="E352" s="19" t="s">
        <v>554</v>
      </c>
      <c r="F352" s="19">
        <v>80088977</v>
      </c>
      <c r="G352" s="19" t="s">
        <v>1746</v>
      </c>
      <c r="H352" s="19" t="s">
        <v>1747</v>
      </c>
      <c r="I352" s="19" t="s">
        <v>31</v>
      </c>
      <c r="J352" s="20">
        <v>1</v>
      </c>
      <c r="K352" s="21">
        <v>43305</v>
      </c>
      <c r="L352" s="21">
        <v>43305</v>
      </c>
      <c r="M352" s="21">
        <v>43550</v>
      </c>
      <c r="N352" s="24" t="s">
        <v>2448</v>
      </c>
      <c r="O352" s="19" t="s">
        <v>557</v>
      </c>
      <c r="P352" s="19" t="s">
        <v>609</v>
      </c>
      <c r="Q352" s="19" t="s">
        <v>871</v>
      </c>
      <c r="R352" s="19" t="s">
        <v>570</v>
      </c>
      <c r="S352" s="19" t="s">
        <v>1748</v>
      </c>
      <c r="T352" t="s">
        <v>51</v>
      </c>
      <c r="U352" s="22">
        <v>0</v>
      </c>
      <c r="V352" s="22">
        <v>0</v>
      </c>
      <c r="W352" s="22">
        <v>1324.47</v>
      </c>
      <c r="X352" s="22">
        <v>0</v>
      </c>
      <c r="Y352" s="22">
        <v>185.15</v>
      </c>
      <c r="Z352" s="22">
        <v>0</v>
      </c>
      <c r="AA352" s="22">
        <v>0</v>
      </c>
      <c r="AB352" s="22">
        <v>0</v>
      </c>
      <c r="AC352" s="22">
        <v>0</v>
      </c>
      <c r="AD352" s="22">
        <v>0</v>
      </c>
      <c r="AE352" s="22">
        <v>1509.62</v>
      </c>
      <c r="AF352" s="22">
        <f t="shared" si="5"/>
        <v>1509.62</v>
      </c>
      <c r="AG352" s="22">
        <v>0</v>
      </c>
      <c r="AH352" s="22">
        <v>1509.62</v>
      </c>
      <c r="AI352" t="s">
        <v>562</v>
      </c>
      <c r="AJ352" t="s">
        <v>1306</v>
      </c>
    </row>
    <row r="353" spans="1:36" ht="29" outlineLevel="2" x14ac:dyDescent="0.35">
      <c r="A353" s="19" t="s">
        <v>551</v>
      </c>
      <c r="B353" s="19" t="s">
        <v>658</v>
      </c>
      <c r="C353" s="19" t="s">
        <v>643</v>
      </c>
      <c r="D353" s="19">
        <v>2018</v>
      </c>
      <c r="E353" s="19" t="s">
        <v>554</v>
      </c>
      <c r="F353" s="19">
        <v>80088853</v>
      </c>
      <c r="G353" s="19" t="s">
        <v>1749</v>
      </c>
      <c r="H353" s="19" t="s">
        <v>1750</v>
      </c>
      <c r="I353" s="19" t="s">
        <v>31</v>
      </c>
      <c r="J353" s="20">
        <v>1</v>
      </c>
      <c r="K353" s="21">
        <v>43300</v>
      </c>
      <c r="L353" s="21">
        <v>43306</v>
      </c>
      <c r="M353" s="21">
        <v>44510</v>
      </c>
      <c r="N353" s="24" t="s">
        <v>2448</v>
      </c>
      <c r="O353" s="19" t="s">
        <v>557</v>
      </c>
      <c r="P353" s="19" t="s">
        <v>609</v>
      </c>
      <c r="Q353" s="19" t="s">
        <v>569</v>
      </c>
      <c r="R353" s="19" t="s">
        <v>591</v>
      </c>
      <c r="S353" s="19" t="s">
        <v>1751</v>
      </c>
      <c r="T353" t="s">
        <v>62</v>
      </c>
      <c r="U353" s="22">
        <v>23086.55</v>
      </c>
      <c r="V353" s="22">
        <v>0</v>
      </c>
      <c r="W353" s="22">
        <v>10636.33</v>
      </c>
      <c r="X353" s="22">
        <v>0</v>
      </c>
      <c r="Y353" s="22">
        <v>13751.41</v>
      </c>
      <c r="Z353" s="22">
        <v>0</v>
      </c>
      <c r="AA353" s="22">
        <v>0</v>
      </c>
      <c r="AB353" s="22">
        <v>-140.22</v>
      </c>
      <c r="AC353" s="22">
        <v>0</v>
      </c>
      <c r="AD353" s="22">
        <v>0</v>
      </c>
      <c r="AE353" s="22">
        <v>47474.29</v>
      </c>
      <c r="AF353" s="22">
        <f t="shared" si="5"/>
        <v>47334.07</v>
      </c>
      <c r="AG353" s="22">
        <v>0</v>
      </c>
      <c r="AH353" s="22">
        <v>47334.07</v>
      </c>
      <c r="AI353" t="s">
        <v>562</v>
      </c>
      <c r="AJ353" t="s">
        <v>1306</v>
      </c>
    </row>
    <row r="354" spans="1:36" ht="29" outlineLevel="2" x14ac:dyDescent="0.35">
      <c r="A354" s="19" t="s">
        <v>551</v>
      </c>
      <c r="B354" s="19" t="s">
        <v>1001</v>
      </c>
      <c r="C354" s="19" t="s">
        <v>1002</v>
      </c>
      <c r="D354" s="19">
        <v>2018</v>
      </c>
      <c r="E354" s="19" t="s">
        <v>554</v>
      </c>
      <c r="F354" s="19">
        <v>80088948</v>
      </c>
      <c r="G354" s="19" t="s">
        <v>1752</v>
      </c>
      <c r="H354" s="19" t="s">
        <v>1753</v>
      </c>
      <c r="I354" s="19" t="s">
        <v>31</v>
      </c>
      <c r="J354" s="20">
        <v>1</v>
      </c>
      <c r="K354" s="21">
        <v>43300</v>
      </c>
      <c r="L354" s="21">
        <v>43301</v>
      </c>
      <c r="M354" s="21">
        <v>43342</v>
      </c>
      <c r="N354" s="24" t="s">
        <v>2448</v>
      </c>
      <c r="O354" s="19" t="s">
        <v>557</v>
      </c>
      <c r="P354" s="19" t="s">
        <v>568</v>
      </c>
      <c r="Q354" s="19" t="s">
        <v>590</v>
      </c>
      <c r="R354" s="19" t="s">
        <v>578</v>
      </c>
      <c r="S354" s="19" t="s">
        <v>1754</v>
      </c>
      <c r="T354" t="s">
        <v>51</v>
      </c>
      <c r="U354" s="22">
        <v>0</v>
      </c>
      <c r="V354" s="22">
        <v>0</v>
      </c>
      <c r="W354" s="22">
        <v>692.32</v>
      </c>
      <c r="X354" s="22">
        <v>0</v>
      </c>
      <c r="Y354" s="22">
        <v>69.760000000000005</v>
      </c>
      <c r="Z354" s="22">
        <v>0</v>
      </c>
      <c r="AA354" s="22">
        <v>0</v>
      </c>
      <c r="AB354" s="22">
        <v>0</v>
      </c>
      <c r="AC354" s="22">
        <v>0</v>
      </c>
      <c r="AD354" s="22">
        <v>0</v>
      </c>
      <c r="AE354" s="22">
        <v>762.08</v>
      </c>
      <c r="AF354" s="22">
        <f t="shared" si="5"/>
        <v>762.08</v>
      </c>
      <c r="AG354" s="22">
        <v>0</v>
      </c>
      <c r="AH354" s="22">
        <v>762.08</v>
      </c>
      <c r="AI354" t="s">
        <v>562</v>
      </c>
      <c r="AJ354" t="s">
        <v>1306</v>
      </c>
    </row>
    <row r="355" spans="1:36" ht="43.5" outlineLevel="2" x14ac:dyDescent="0.35">
      <c r="A355" s="19" t="s">
        <v>551</v>
      </c>
      <c r="B355" s="19" t="s">
        <v>572</v>
      </c>
      <c r="C355" s="19" t="s">
        <v>573</v>
      </c>
      <c r="D355" s="19">
        <v>2018</v>
      </c>
      <c r="E355" s="19" t="s">
        <v>554</v>
      </c>
      <c r="F355" s="19">
        <v>80088954</v>
      </c>
      <c r="G355" s="19" t="s">
        <v>1755</v>
      </c>
      <c r="H355" s="19" t="s">
        <v>1756</v>
      </c>
      <c r="I355" s="19" t="s">
        <v>31</v>
      </c>
      <c r="J355" s="20">
        <v>1</v>
      </c>
      <c r="K355" s="21">
        <v>43298</v>
      </c>
      <c r="L355" s="21">
        <v>43305</v>
      </c>
      <c r="M355" s="21">
        <v>43440</v>
      </c>
      <c r="N355" s="24" t="s">
        <v>2448</v>
      </c>
      <c r="O355" s="19" t="s">
        <v>557</v>
      </c>
      <c r="P355" s="19" t="s">
        <v>665</v>
      </c>
      <c r="Q355" s="19" t="s">
        <v>661</v>
      </c>
      <c r="R355" s="19" t="s">
        <v>570</v>
      </c>
      <c r="S355" s="19" t="s">
        <v>1757</v>
      </c>
      <c r="T355" t="s">
        <v>139</v>
      </c>
      <c r="U355" s="22">
        <v>0</v>
      </c>
      <c r="V355" s="22">
        <v>0</v>
      </c>
      <c r="W355" s="22">
        <v>1495.81</v>
      </c>
      <c r="X355" s="22">
        <v>0</v>
      </c>
      <c r="Y355" s="22">
        <v>202.4</v>
      </c>
      <c r="Z355" s="22">
        <v>0</v>
      </c>
      <c r="AA355" s="22">
        <v>0</v>
      </c>
      <c r="AB355" s="22">
        <v>-87.41</v>
      </c>
      <c r="AC355" s="22">
        <v>0</v>
      </c>
      <c r="AD355" s="22">
        <v>0</v>
      </c>
      <c r="AE355" s="22">
        <v>1698.21</v>
      </c>
      <c r="AF355" s="22">
        <f t="shared" si="5"/>
        <v>1610.8</v>
      </c>
      <c r="AG355" s="22">
        <v>0</v>
      </c>
      <c r="AH355" s="22">
        <v>1610.8</v>
      </c>
      <c r="AI355" t="s">
        <v>562</v>
      </c>
      <c r="AJ355" t="s">
        <v>1306</v>
      </c>
    </row>
    <row r="356" spans="1:36" ht="43.5" outlineLevel="2" x14ac:dyDescent="0.35">
      <c r="A356" s="19" t="s">
        <v>551</v>
      </c>
      <c r="B356" s="19" t="s">
        <v>658</v>
      </c>
      <c r="C356" s="19" t="s">
        <v>643</v>
      </c>
      <c r="D356" s="19">
        <v>2018</v>
      </c>
      <c r="E356" s="19" t="s">
        <v>554</v>
      </c>
      <c r="F356" s="19">
        <v>80088762</v>
      </c>
      <c r="G356" s="19" t="s">
        <v>1758</v>
      </c>
      <c r="H356" s="19" t="s">
        <v>1759</v>
      </c>
      <c r="I356" s="19" t="s">
        <v>31</v>
      </c>
      <c r="J356" s="20">
        <v>1</v>
      </c>
      <c r="K356" s="21">
        <v>43297</v>
      </c>
      <c r="L356" s="21">
        <v>43297</v>
      </c>
      <c r="M356" s="21">
        <v>44876</v>
      </c>
      <c r="N356" s="24" t="s">
        <v>2448</v>
      </c>
      <c r="O356" s="19" t="s">
        <v>557</v>
      </c>
      <c r="P356" s="19" t="s">
        <v>568</v>
      </c>
      <c r="Q356" s="19" t="s">
        <v>871</v>
      </c>
      <c r="R356" s="19" t="s">
        <v>708</v>
      </c>
      <c r="S356" s="19" t="s">
        <v>1760</v>
      </c>
      <c r="T356" t="s">
        <v>62</v>
      </c>
      <c r="U356" s="22">
        <v>95809.52</v>
      </c>
      <c r="V356" s="22">
        <v>0</v>
      </c>
      <c r="W356" s="22">
        <v>106852.24</v>
      </c>
      <c r="X356" s="22">
        <v>0</v>
      </c>
      <c r="Y356" s="22">
        <v>9541.2199999999993</v>
      </c>
      <c r="Z356" s="22">
        <v>0</v>
      </c>
      <c r="AA356" s="22">
        <v>0</v>
      </c>
      <c r="AB356" s="22">
        <v>-2491.85</v>
      </c>
      <c r="AC356" s="22">
        <v>0</v>
      </c>
      <c r="AD356" s="22">
        <v>0</v>
      </c>
      <c r="AE356" s="22">
        <v>212202.98</v>
      </c>
      <c r="AF356" s="22">
        <f t="shared" si="5"/>
        <v>209711.13</v>
      </c>
      <c r="AG356" s="22">
        <v>0</v>
      </c>
      <c r="AH356" s="22">
        <v>209711.13</v>
      </c>
      <c r="AI356" t="s">
        <v>562</v>
      </c>
      <c r="AJ356" t="s">
        <v>1306</v>
      </c>
    </row>
    <row r="357" spans="1:36" ht="43.5" outlineLevel="2" x14ac:dyDescent="0.35">
      <c r="A357" s="19" t="s">
        <v>551</v>
      </c>
      <c r="B357" s="19" t="s">
        <v>945</v>
      </c>
      <c r="C357" s="19" t="s">
        <v>946</v>
      </c>
      <c r="D357" s="19">
        <v>2018</v>
      </c>
      <c r="E357" s="19" t="s">
        <v>554</v>
      </c>
      <c r="F357" s="19">
        <v>80088922</v>
      </c>
      <c r="G357" s="19" t="s">
        <v>1761</v>
      </c>
      <c r="H357" s="19" t="s">
        <v>1762</v>
      </c>
      <c r="I357" s="19" t="s">
        <v>31</v>
      </c>
      <c r="J357" s="20">
        <v>1</v>
      </c>
      <c r="K357" s="21">
        <v>43294</v>
      </c>
      <c r="L357" s="21">
        <v>43305</v>
      </c>
      <c r="M357" s="21">
        <v>43992</v>
      </c>
      <c r="N357" s="24" t="s">
        <v>2448</v>
      </c>
      <c r="O357" s="19" t="s">
        <v>557</v>
      </c>
      <c r="P357" s="19" t="s">
        <v>568</v>
      </c>
      <c r="Q357" s="19" t="s">
        <v>584</v>
      </c>
      <c r="R357" s="19" t="s">
        <v>570</v>
      </c>
      <c r="S357" s="19" t="s">
        <v>1763</v>
      </c>
      <c r="T357" t="s">
        <v>51</v>
      </c>
      <c r="U357" s="22">
        <v>0</v>
      </c>
      <c r="V357" s="22">
        <v>0</v>
      </c>
      <c r="W357" s="22">
        <v>999.88</v>
      </c>
      <c r="X357" s="22">
        <v>0</v>
      </c>
      <c r="Y357" s="22">
        <v>107.27</v>
      </c>
      <c r="Z357" s="22">
        <v>0</v>
      </c>
      <c r="AA357" s="22">
        <v>0</v>
      </c>
      <c r="AB357" s="22">
        <v>0</v>
      </c>
      <c r="AC357" s="22">
        <v>0</v>
      </c>
      <c r="AD357" s="22">
        <v>0</v>
      </c>
      <c r="AE357" s="22">
        <v>1107.1500000000001</v>
      </c>
      <c r="AF357" s="22">
        <f t="shared" si="5"/>
        <v>1107.1500000000001</v>
      </c>
      <c r="AG357" s="22">
        <v>0</v>
      </c>
      <c r="AH357" s="22">
        <v>1107.1500000000001</v>
      </c>
      <c r="AI357" t="s">
        <v>562</v>
      </c>
      <c r="AJ357" t="s">
        <v>1306</v>
      </c>
    </row>
    <row r="358" spans="1:36" ht="72.5" outlineLevel="2" x14ac:dyDescent="0.35">
      <c r="A358" s="19" t="s">
        <v>551</v>
      </c>
      <c r="B358" s="19" t="s">
        <v>986</v>
      </c>
      <c r="C358" s="19" t="s">
        <v>553</v>
      </c>
      <c r="D358" s="19">
        <v>2018</v>
      </c>
      <c r="E358" s="19" t="s">
        <v>554</v>
      </c>
      <c r="F358" s="19">
        <v>80088760</v>
      </c>
      <c r="G358" s="19" t="s">
        <v>1764</v>
      </c>
      <c r="H358" s="19" t="s">
        <v>1765</v>
      </c>
      <c r="I358" s="19" t="s">
        <v>31</v>
      </c>
      <c r="J358" s="20">
        <v>1</v>
      </c>
      <c r="K358" s="21">
        <v>43293</v>
      </c>
      <c r="L358" s="21">
        <v>43298</v>
      </c>
      <c r="M358" s="21">
        <v>43993</v>
      </c>
      <c r="N358" s="24" t="s">
        <v>2448</v>
      </c>
      <c r="O358" s="19" t="s">
        <v>557</v>
      </c>
      <c r="P358" s="19" t="s">
        <v>568</v>
      </c>
      <c r="Q358" s="19" t="s">
        <v>655</v>
      </c>
      <c r="R358" s="19" t="s">
        <v>578</v>
      </c>
      <c r="S358" s="19" t="s">
        <v>1766</v>
      </c>
      <c r="T358" t="s">
        <v>85</v>
      </c>
      <c r="U358" s="22">
        <v>0</v>
      </c>
      <c r="V358" s="22">
        <v>0</v>
      </c>
      <c r="W358" s="22">
        <v>605.29</v>
      </c>
      <c r="X358" s="22">
        <v>0</v>
      </c>
      <c r="Y358" s="22">
        <v>28.29</v>
      </c>
      <c r="Z358" s="22">
        <v>0</v>
      </c>
      <c r="AA358" s="22">
        <v>0</v>
      </c>
      <c r="AB358" s="22">
        <v>0</v>
      </c>
      <c r="AC358" s="22">
        <v>0</v>
      </c>
      <c r="AD358" s="22">
        <v>0</v>
      </c>
      <c r="AE358" s="22">
        <v>633.58000000000004</v>
      </c>
      <c r="AF358" s="22">
        <f t="shared" si="5"/>
        <v>633.58000000000004</v>
      </c>
      <c r="AG358" s="22">
        <v>0</v>
      </c>
      <c r="AH358" s="22">
        <v>633.58000000000004</v>
      </c>
      <c r="AI358" t="s">
        <v>562</v>
      </c>
      <c r="AJ358" t="s">
        <v>1306</v>
      </c>
    </row>
    <row r="359" spans="1:36" ht="43.5" outlineLevel="2" x14ac:dyDescent="0.35">
      <c r="A359" s="19" t="s">
        <v>551</v>
      </c>
      <c r="B359" s="19" t="s">
        <v>945</v>
      </c>
      <c r="C359" s="19" t="s">
        <v>946</v>
      </c>
      <c r="D359" s="19">
        <v>2018</v>
      </c>
      <c r="E359" s="19" t="s">
        <v>554</v>
      </c>
      <c r="F359" s="19">
        <v>80088783</v>
      </c>
      <c r="G359" s="19" t="s">
        <v>1767</v>
      </c>
      <c r="H359" s="19" t="s">
        <v>1768</v>
      </c>
      <c r="I359" s="19" t="s">
        <v>31</v>
      </c>
      <c r="J359" s="20">
        <v>1</v>
      </c>
      <c r="K359" s="21">
        <v>43293</v>
      </c>
      <c r="L359" s="21">
        <v>43293</v>
      </c>
      <c r="M359" s="21">
        <v>43992</v>
      </c>
      <c r="N359" s="24" t="s">
        <v>2448</v>
      </c>
      <c r="O359" s="19" t="s">
        <v>557</v>
      </c>
      <c r="P359" s="19" t="s">
        <v>568</v>
      </c>
      <c r="Q359" s="19" t="s">
        <v>1728</v>
      </c>
      <c r="R359" s="19" t="s">
        <v>578</v>
      </c>
      <c r="S359" s="19" t="s">
        <v>1769</v>
      </c>
      <c r="T359" t="s">
        <v>51</v>
      </c>
      <c r="U359" s="22">
        <v>0</v>
      </c>
      <c r="V359" s="22">
        <v>0</v>
      </c>
      <c r="W359" s="22">
        <v>398.5</v>
      </c>
      <c r="X359" s="22">
        <v>0</v>
      </c>
      <c r="Y359" s="22">
        <v>37.92</v>
      </c>
      <c r="Z359" s="22">
        <v>0</v>
      </c>
      <c r="AA359" s="22">
        <v>0</v>
      </c>
      <c r="AB359" s="22">
        <v>0</v>
      </c>
      <c r="AC359" s="22">
        <v>0</v>
      </c>
      <c r="AD359" s="22">
        <v>0</v>
      </c>
      <c r="AE359" s="22">
        <v>436.42</v>
      </c>
      <c r="AF359" s="22">
        <f t="shared" si="5"/>
        <v>436.42</v>
      </c>
      <c r="AG359" s="22">
        <v>0</v>
      </c>
      <c r="AH359" s="22">
        <v>436.42</v>
      </c>
      <c r="AI359" t="s">
        <v>562</v>
      </c>
      <c r="AJ359" t="s">
        <v>1306</v>
      </c>
    </row>
    <row r="360" spans="1:36" ht="43.5" outlineLevel="2" x14ac:dyDescent="0.35">
      <c r="A360" s="19" t="s">
        <v>551</v>
      </c>
      <c r="B360" s="19" t="s">
        <v>794</v>
      </c>
      <c r="C360" s="19" t="s">
        <v>749</v>
      </c>
      <c r="D360" s="19">
        <v>2018</v>
      </c>
      <c r="E360" s="19" t="s">
        <v>554</v>
      </c>
      <c r="F360" s="19">
        <v>80088777</v>
      </c>
      <c r="G360" s="19" t="s">
        <v>1770</v>
      </c>
      <c r="H360" s="19" t="s">
        <v>1771</v>
      </c>
      <c r="I360" s="19" t="s">
        <v>31</v>
      </c>
      <c r="J360" s="20">
        <v>1</v>
      </c>
      <c r="K360" s="21">
        <v>43292</v>
      </c>
      <c r="L360" s="21">
        <v>43292</v>
      </c>
      <c r="M360" s="21">
        <v>44123</v>
      </c>
      <c r="N360" s="24" t="s">
        <v>2448</v>
      </c>
      <c r="O360" s="19" t="s">
        <v>557</v>
      </c>
      <c r="P360" s="19" t="s">
        <v>665</v>
      </c>
      <c r="Q360" s="19" t="s">
        <v>569</v>
      </c>
      <c r="R360" s="19" t="s">
        <v>560</v>
      </c>
      <c r="S360" s="19" t="s">
        <v>1772</v>
      </c>
      <c r="T360" t="s">
        <v>212</v>
      </c>
      <c r="U360" s="22">
        <v>24539.96</v>
      </c>
      <c r="V360" s="22">
        <v>0</v>
      </c>
      <c r="W360" s="22">
        <v>28974.68</v>
      </c>
      <c r="X360" s="22">
        <v>0</v>
      </c>
      <c r="Y360" s="22">
        <v>17077.72</v>
      </c>
      <c r="Z360" s="22">
        <v>0</v>
      </c>
      <c r="AA360" s="22">
        <v>0</v>
      </c>
      <c r="AB360" s="22">
        <v>0</v>
      </c>
      <c r="AC360" s="22">
        <v>0</v>
      </c>
      <c r="AD360" s="22">
        <v>0</v>
      </c>
      <c r="AE360" s="22">
        <v>70592.36</v>
      </c>
      <c r="AF360" s="22">
        <f t="shared" si="5"/>
        <v>70592.36</v>
      </c>
      <c r="AG360" s="22">
        <v>0</v>
      </c>
      <c r="AH360" s="22">
        <v>70592.36</v>
      </c>
      <c r="AI360" t="s">
        <v>562</v>
      </c>
      <c r="AJ360" t="s">
        <v>1306</v>
      </c>
    </row>
    <row r="361" spans="1:36" ht="87" outlineLevel="2" x14ac:dyDescent="0.35">
      <c r="A361" s="19" t="s">
        <v>551</v>
      </c>
      <c r="B361" s="19" t="s">
        <v>636</v>
      </c>
      <c r="C361" s="19" t="s">
        <v>594</v>
      </c>
      <c r="D361" s="19">
        <v>2018</v>
      </c>
      <c r="E361" s="19" t="s">
        <v>554</v>
      </c>
      <c r="F361" s="19">
        <v>80088771</v>
      </c>
      <c r="G361" s="19" t="s">
        <v>1773</v>
      </c>
      <c r="H361" s="19" t="s">
        <v>1774</v>
      </c>
      <c r="I361" s="19" t="s">
        <v>31</v>
      </c>
      <c r="J361" s="20">
        <v>1</v>
      </c>
      <c r="K361" s="21">
        <v>43290</v>
      </c>
      <c r="L361" s="21">
        <v>43291</v>
      </c>
      <c r="M361" s="21">
        <v>43550</v>
      </c>
      <c r="N361" s="24" t="s">
        <v>2448</v>
      </c>
      <c r="O361" s="19" t="s">
        <v>557</v>
      </c>
      <c r="P361" s="19" t="s">
        <v>568</v>
      </c>
      <c r="Q361" s="19" t="s">
        <v>1728</v>
      </c>
      <c r="R361" s="19" t="s">
        <v>578</v>
      </c>
      <c r="S361" s="19" t="s">
        <v>1775</v>
      </c>
      <c r="T361" t="s">
        <v>223</v>
      </c>
      <c r="U361" s="22">
        <v>3823.2</v>
      </c>
      <c r="V361" s="22">
        <v>0</v>
      </c>
      <c r="W361" s="22">
        <v>517.45000000000005</v>
      </c>
      <c r="X361" s="22">
        <v>0</v>
      </c>
      <c r="Y361" s="22">
        <v>48.14</v>
      </c>
      <c r="Z361" s="22">
        <v>0</v>
      </c>
      <c r="AA361" s="22">
        <v>0</v>
      </c>
      <c r="AB361" s="22">
        <v>0</v>
      </c>
      <c r="AC361" s="22">
        <v>0</v>
      </c>
      <c r="AD361" s="22">
        <v>0</v>
      </c>
      <c r="AE361" s="22">
        <v>4388.79</v>
      </c>
      <c r="AF361" s="22">
        <f t="shared" si="5"/>
        <v>4388.79</v>
      </c>
      <c r="AG361" s="22">
        <v>0</v>
      </c>
      <c r="AH361" s="22">
        <v>4388.79</v>
      </c>
      <c r="AI361" t="s">
        <v>562</v>
      </c>
      <c r="AJ361" t="s">
        <v>1306</v>
      </c>
    </row>
    <row r="362" spans="1:36" ht="29" outlineLevel="2" x14ac:dyDescent="0.35">
      <c r="A362" s="19" t="s">
        <v>551</v>
      </c>
      <c r="D362" s="19">
        <v>2018</v>
      </c>
      <c r="E362" s="19" t="s">
        <v>834</v>
      </c>
      <c r="F362" s="19" t="s">
        <v>835</v>
      </c>
      <c r="K362" s="21"/>
      <c r="L362" s="21"/>
      <c r="N362" s="24" t="s">
        <v>2448</v>
      </c>
      <c r="U362" s="22">
        <v>0</v>
      </c>
      <c r="V362" s="22">
        <v>0</v>
      </c>
      <c r="W362" s="22">
        <v>0</v>
      </c>
      <c r="X362" s="22">
        <v>0</v>
      </c>
      <c r="Y362" s="22">
        <v>0</v>
      </c>
      <c r="Z362" s="22">
        <v>0</v>
      </c>
      <c r="AA362" s="22">
        <v>0</v>
      </c>
      <c r="AB362" s="22">
        <v>0</v>
      </c>
      <c r="AC362" s="22">
        <v>0</v>
      </c>
      <c r="AD362" s="22">
        <v>0</v>
      </c>
      <c r="AE362" s="22">
        <v>0</v>
      </c>
      <c r="AF362" s="22">
        <f t="shared" si="5"/>
        <v>0</v>
      </c>
      <c r="AG362" s="22">
        <v>0</v>
      </c>
      <c r="AH362" s="22">
        <v>0</v>
      </c>
      <c r="AI362" t="s">
        <v>562</v>
      </c>
      <c r="AJ362" t="s">
        <v>1306</v>
      </c>
    </row>
    <row r="363" spans="1:36" ht="43.5" outlineLevel="2" x14ac:dyDescent="0.35">
      <c r="A363" s="19" t="s">
        <v>551</v>
      </c>
      <c r="B363" s="19" t="s">
        <v>572</v>
      </c>
      <c r="C363" s="19" t="s">
        <v>573</v>
      </c>
      <c r="D363" s="19">
        <v>2017</v>
      </c>
      <c r="E363" s="19" t="s">
        <v>1776</v>
      </c>
      <c r="F363" s="19">
        <v>80088772</v>
      </c>
      <c r="G363" s="19" t="s">
        <v>1777</v>
      </c>
      <c r="H363" s="19" t="s">
        <v>1778</v>
      </c>
      <c r="I363" s="19" t="s">
        <v>31</v>
      </c>
      <c r="J363" s="20">
        <v>1</v>
      </c>
      <c r="K363" s="21">
        <v>43272</v>
      </c>
      <c r="L363" s="21">
        <v>43272</v>
      </c>
      <c r="M363" s="21">
        <v>44181</v>
      </c>
      <c r="N363" s="24" t="s">
        <v>2448</v>
      </c>
      <c r="O363" s="19" t="s">
        <v>557</v>
      </c>
      <c r="P363" s="19" t="s">
        <v>665</v>
      </c>
      <c r="Q363" s="19" t="s">
        <v>597</v>
      </c>
      <c r="R363" s="19" t="s">
        <v>591</v>
      </c>
      <c r="S363" s="19" t="s">
        <v>1779</v>
      </c>
      <c r="T363" t="s">
        <v>139</v>
      </c>
      <c r="U363" s="22">
        <v>14337</v>
      </c>
      <c r="V363" s="22">
        <v>0</v>
      </c>
      <c r="W363" s="22">
        <v>7554.46</v>
      </c>
      <c r="X363" s="22">
        <v>0</v>
      </c>
      <c r="Y363" s="22">
        <v>4349.46</v>
      </c>
      <c r="Z363" s="22">
        <v>0</v>
      </c>
      <c r="AA363" s="22">
        <v>0</v>
      </c>
      <c r="AB363" s="22">
        <v>-110.04</v>
      </c>
      <c r="AC363" s="22">
        <v>0</v>
      </c>
      <c r="AD363" s="22">
        <v>0</v>
      </c>
      <c r="AE363" s="22">
        <v>26240.92</v>
      </c>
      <c r="AF363" s="22">
        <f t="shared" si="5"/>
        <v>26130.879999999997</v>
      </c>
      <c r="AG363" s="22">
        <v>0</v>
      </c>
      <c r="AH363" s="22">
        <v>26130.880000000001</v>
      </c>
      <c r="AI363" t="s">
        <v>562</v>
      </c>
      <c r="AJ363" t="s">
        <v>1306</v>
      </c>
    </row>
    <row r="364" spans="1:36" ht="43.5" outlineLevel="2" x14ac:dyDescent="0.35">
      <c r="A364" s="19" t="s">
        <v>551</v>
      </c>
      <c r="B364" s="19" t="s">
        <v>1015</v>
      </c>
      <c r="C364" s="19" t="s">
        <v>1016</v>
      </c>
      <c r="D364" s="19">
        <v>2017</v>
      </c>
      <c r="E364" s="19" t="s">
        <v>1776</v>
      </c>
      <c r="F364" s="19">
        <v>80088847</v>
      </c>
      <c r="G364" s="19" t="s">
        <v>1780</v>
      </c>
      <c r="H364" s="19" t="s">
        <v>1781</v>
      </c>
      <c r="I364" s="19" t="s">
        <v>31</v>
      </c>
      <c r="J364" s="20">
        <v>1</v>
      </c>
      <c r="K364" s="21">
        <v>43272</v>
      </c>
      <c r="L364" s="21">
        <v>43273</v>
      </c>
      <c r="M364" s="21">
        <v>43531</v>
      </c>
      <c r="N364" s="24" t="s">
        <v>2448</v>
      </c>
      <c r="O364" s="19" t="s">
        <v>557</v>
      </c>
      <c r="P364" s="19" t="s">
        <v>576</v>
      </c>
      <c r="Q364" s="19" t="s">
        <v>639</v>
      </c>
      <c r="R364" s="19" t="s">
        <v>578</v>
      </c>
      <c r="S364" s="19" t="s">
        <v>1782</v>
      </c>
      <c r="T364" t="s">
        <v>1021</v>
      </c>
      <c r="U364" s="22">
        <v>0</v>
      </c>
      <c r="V364" s="22">
        <v>0</v>
      </c>
      <c r="W364" s="22">
        <v>849.31</v>
      </c>
      <c r="X364" s="22">
        <v>0</v>
      </c>
      <c r="Y364" s="22">
        <v>90.31</v>
      </c>
      <c r="Z364" s="22">
        <v>0</v>
      </c>
      <c r="AA364" s="22">
        <v>0</v>
      </c>
      <c r="AB364" s="22">
        <v>-16.32</v>
      </c>
      <c r="AC364" s="22">
        <v>0</v>
      </c>
      <c r="AD364" s="22">
        <v>0</v>
      </c>
      <c r="AE364" s="22">
        <v>939.62</v>
      </c>
      <c r="AF364" s="22">
        <f t="shared" si="5"/>
        <v>923.3</v>
      </c>
      <c r="AG364" s="22">
        <v>0</v>
      </c>
      <c r="AH364" s="22">
        <v>923.3</v>
      </c>
      <c r="AI364" t="s">
        <v>562</v>
      </c>
      <c r="AJ364" t="s">
        <v>1306</v>
      </c>
    </row>
    <row r="365" spans="1:36" ht="43.5" outlineLevel="2" x14ac:dyDescent="0.35">
      <c r="A365" s="19" t="s">
        <v>551</v>
      </c>
      <c r="B365" s="19" t="s">
        <v>658</v>
      </c>
      <c r="C365" s="19" t="s">
        <v>643</v>
      </c>
      <c r="D365" s="19">
        <v>2017</v>
      </c>
      <c r="E365" s="19" t="s">
        <v>1776</v>
      </c>
      <c r="F365" s="19">
        <v>80088758</v>
      </c>
      <c r="G365" s="19" t="s">
        <v>1783</v>
      </c>
      <c r="H365" s="19" t="s">
        <v>1784</v>
      </c>
      <c r="I365" s="19" t="s">
        <v>31</v>
      </c>
      <c r="J365" s="20">
        <v>1</v>
      </c>
      <c r="K365" s="21">
        <v>43270</v>
      </c>
      <c r="L365" s="21">
        <v>43276</v>
      </c>
      <c r="M365" s="21">
        <v>43440</v>
      </c>
      <c r="N365" s="24" t="s">
        <v>2448</v>
      </c>
      <c r="O365" s="19" t="s">
        <v>557</v>
      </c>
      <c r="P365" s="19" t="s">
        <v>568</v>
      </c>
      <c r="Q365" s="19" t="s">
        <v>655</v>
      </c>
      <c r="R365" s="19" t="s">
        <v>578</v>
      </c>
      <c r="S365" s="19" t="s">
        <v>1785</v>
      </c>
      <c r="T365" t="s">
        <v>62</v>
      </c>
      <c r="U365" s="22">
        <v>0</v>
      </c>
      <c r="V365" s="22">
        <v>0</v>
      </c>
      <c r="W365" s="22">
        <v>604.80999999999995</v>
      </c>
      <c r="X365" s="22">
        <v>0</v>
      </c>
      <c r="Y365" s="22">
        <v>153.24</v>
      </c>
      <c r="Z365" s="22">
        <v>0</v>
      </c>
      <c r="AA365" s="22">
        <v>0</v>
      </c>
      <c r="AB365" s="22">
        <v>-62.97</v>
      </c>
      <c r="AC365" s="22">
        <v>0</v>
      </c>
      <c r="AD365" s="22">
        <v>0</v>
      </c>
      <c r="AE365" s="22">
        <v>758.05</v>
      </c>
      <c r="AF365" s="22">
        <f t="shared" si="5"/>
        <v>695.07999999999993</v>
      </c>
      <c r="AG365" s="22">
        <v>0</v>
      </c>
      <c r="AH365" s="22">
        <v>695.08</v>
      </c>
      <c r="AI365" t="s">
        <v>562</v>
      </c>
      <c r="AJ365" t="s">
        <v>1306</v>
      </c>
    </row>
    <row r="366" spans="1:36" ht="43.5" outlineLevel="2" x14ac:dyDescent="0.35">
      <c r="A366" s="19" t="s">
        <v>551</v>
      </c>
      <c r="B366" s="19" t="s">
        <v>821</v>
      </c>
      <c r="C366" s="19" t="s">
        <v>749</v>
      </c>
      <c r="D366" s="19">
        <v>2017</v>
      </c>
      <c r="E366" s="19" t="s">
        <v>1776</v>
      </c>
      <c r="F366" s="19">
        <v>80088768</v>
      </c>
      <c r="G366" s="19" t="s">
        <v>1786</v>
      </c>
      <c r="H366" s="19" t="s">
        <v>1787</v>
      </c>
      <c r="I366" s="19" t="s">
        <v>31</v>
      </c>
      <c r="J366" s="20">
        <v>1</v>
      </c>
      <c r="K366" s="21">
        <v>43270</v>
      </c>
      <c r="L366" s="21">
        <v>43277</v>
      </c>
      <c r="M366" s="21">
        <v>43525</v>
      </c>
      <c r="N366" s="24" t="s">
        <v>2448</v>
      </c>
      <c r="O366" s="19" t="s">
        <v>557</v>
      </c>
      <c r="P366" s="19" t="s">
        <v>568</v>
      </c>
      <c r="Q366" s="19" t="s">
        <v>735</v>
      </c>
      <c r="R366" s="19" t="s">
        <v>591</v>
      </c>
      <c r="S366" s="19" t="s">
        <v>1788</v>
      </c>
      <c r="T366" t="s">
        <v>121</v>
      </c>
      <c r="U366" s="22">
        <v>0</v>
      </c>
      <c r="V366" s="22">
        <v>0</v>
      </c>
      <c r="W366" s="22">
        <v>161.33000000000001</v>
      </c>
      <c r="X366" s="22">
        <v>0</v>
      </c>
      <c r="Y366" s="22">
        <v>14.52</v>
      </c>
      <c r="Z366" s="22">
        <v>0</v>
      </c>
      <c r="AA366" s="22">
        <v>0</v>
      </c>
      <c r="AB366" s="22">
        <v>0</v>
      </c>
      <c r="AC366" s="22">
        <v>0</v>
      </c>
      <c r="AD366" s="22">
        <v>0</v>
      </c>
      <c r="AE366" s="22">
        <v>175.85</v>
      </c>
      <c r="AF366" s="22">
        <f t="shared" si="5"/>
        <v>175.85</v>
      </c>
      <c r="AG366" s="22">
        <v>0</v>
      </c>
      <c r="AH366" s="22">
        <v>175.85</v>
      </c>
      <c r="AI366" t="s">
        <v>562</v>
      </c>
      <c r="AJ366" t="s">
        <v>1306</v>
      </c>
    </row>
    <row r="367" spans="1:36" ht="43.5" outlineLevel="2" x14ac:dyDescent="0.35">
      <c r="A367" s="19" t="s">
        <v>551</v>
      </c>
      <c r="B367" s="19" t="s">
        <v>1094</v>
      </c>
      <c r="C367" s="19" t="s">
        <v>1095</v>
      </c>
      <c r="D367" s="19">
        <v>2017</v>
      </c>
      <c r="E367" s="19" t="s">
        <v>1776</v>
      </c>
      <c r="F367" s="19">
        <v>80088767</v>
      </c>
      <c r="G367" s="19" t="s">
        <v>1789</v>
      </c>
      <c r="H367" s="19" t="s">
        <v>1790</v>
      </c>
      <c r="I367" s="19" t="s">
        <v>31</v>
      </c>
      <c r="J367" s="20">
        <v>1</v>
      </c>
      <c r="K367" s="21">
        <v>43265</v>
      </c>
      <c r="L367" s="21">
        <v>43266</v>
      </c>
      <c r="M367" s="21">
        <v>43315</v>
      </c>
      <c r="N367" s="24" t="s">
        <v>2448</v>
      </c>
      <c r="O367" s="19" t="s">
        <v>557</v>
      </c>
      <c r="P367" s="19" t="s">
        <v>609</v>
      </c>
      <c r="Q367" s="19" t="s">
        <v>577</v>
      </c>
      <c r="R367" s="19" t="s">
        <v>570</v>
      </c>
      <c r="S367" s="19" t="s">
        <v>1791</v>
      </c>
      <c r="T367" t="s">
        <v>51</v>
      </c>
      <c r="U367" s="22">
        <v>0</v>
      </c>
      <c r="V367" s="22">
        <v>0</v>
      </c>
      <c r="W367" s="22">
        <v>618.51</v>
      </c>
      <c r="X367" s="22">
        <v>0</v>
      </c>
      <c r="Y367" s="22">
        <v>37.61</v>
      </c>
      <c r="Z367" s="22">
        <v>0</v>
      </c>
      <c r="AA367" s="22">
        <v>0</v>
      </c>
      <c r="AB367" s="22">
        <v>0</v>
      </c>
      <c r="AC367" s="22">
        <v>0</v>
      </c>
      <c r="AD367" s="22">
        <v>0</v>
      </c>
      <c r="AE367" s="22">
        <v>656.12</v>
      </c>
      <c r="AF367" s="22">
        <f t="shared" si="5"/>
        <v>656.12</v>
      </c>
      <c r="AG367" s="22">
        <v>0</v>
      </c>
      <c r="AH367" s="22">
        <v>656.12</v>
      </c>
      <c r="AI367" t="s">
        <v>562</v>
      </c>
      <c r="AJ367" t="s">
        <v>1306</v>
      </c>
    </row>
    <row r="368" spans="1:36" ht="29" outlineLevel="2" x14ac:dyDescent="0.35">
      <c r="A368" s="19" t="s">
        <v>551</v>
      </c>
      <c r="B368" s="19" t="s">
        <v>1001</v>
      </c>
      <c r="C368" s="19" t="s">
        <v>1002</v>
      </c>
      <c r="D368" s="19">
        <v>2017</v>
      </c>
      <c r="E368" s="19" t="s">
        <v>1776</v>
      </c>
      <c r="F368" s="19">
        <v>80088770</v>
      </c>
      <c r="G368" s="19" t="s">
        <v>1792</v>
      </c>
      <c r="H368" s="19" t="s">
        <v>1793</v>
      </c>
      <c r="I368" s="19" t="s">
        <v>31</v>
      </c>
      <c r="J368" s="20">
        <v>1</v>
      </c>
      <c r="K368" s="21">
        <v>43265</v>
      </c>
      <c r="L368" s="21">
        <v>43266</v>
      </c>
      <c r="M368" s="21">
        <v>43308</v>
      </c>
      <c r="N368" s="24" t="s">
        <v>2448</v>
      </c>
      <c r="O368" s="19" t="s">
        <v>557</v>
      </c>
      <c r="P368" s="19" t="s">
        <v>568</v>
      </c>
      <c r="Q368" s="19" t="s">
        <v>569</v>
      </c>
      <c r="R368" s="19" t="s">
        <v>570</v>
      </c>
      <c r="S368" s="19" t="s">
        <v>1794</v>
      </c>
      <c r="T368" t="s">
        <v>51</v>
      </c>
      <c r="U368" s="22">
        <v>0</v>
      </c>
      <c r="V368" s="22">
        <v>0</v>
      </c>
      <c r="W368" s="22">
        <v>166.85</v>
      </c>
      <c r="X368" s="22">
        <v>0</v>
      </c>
      <c r="Y368" s="22">
        <v>30.27</v>
      </c>
      <c r="Z368" s="22">
        <v>0</v>
      </c>
      <c r="AA368" s="22">
        <v>0</v>
      </c>
      <c r="AB368" s="22">
        <v>0</v>
      </c>
      <c r="AC368" s="22">
        <v>0</v>
      </c>
      <c r="AD368" s="22">
        <v>0</v>
      </c>
      <c r="AE368" s="22">
        <v>197.12</v>
      </c>
      <c r="AF368" s="22">
        <f t="shared" si="5"/>
        <v>197.12</v>
      </c>
      <c r="AG368" s="22">
        <v>0</v>
      </c>
      <c r="AH368" s="22">
        <v>197.12</v>
      </c>
      <c r="AI368" t="s">
        <v>562</v>
      </c>
      <c r="AJ368" t="s">
        <v>1306</v>
      </c>
    </row>
    <row r="369" spans="1:36" ht="43.5" outlineLevel="2" x14ac:dyDescent="0.35">
      <c r="A369" s="19" t="s">
        <v>551</v>
      </c>
      <c r="B369" s="19" t="s">
        <v>658</v>
      </c>
      <c r="C369" s="19" t="s">
        <v>643</v>
      </c>
      <c r="D369" s="19">
        <v>2017</v>
      </c>
      <c r="E369" s="19" t="s">
        <v>1776</v>
      </c>
      <c r="F369" s="19">
        <v>80088855</v>
      </c>
      <c r="G369" s="19" t="s">
        <v>1795</v>
      </c>
      <c r="H369" s="19" t="s">
        <v>1796</v>
      </c>
      <c r="I369" s="19" t="s">
        <v>31</v>
      </c>
      <c r="J369" s="20">
        <v>1</v>
      </c>
      <c r="K369" s="21">
        <v>43262</v>
      </c>
      <c r="L369" s="21">
        <v>43263</v>
      </c>
      <c r="M369" s="21">
        <v>43308</v>
      </c>
      <c r="N369" s="24" t="s">
        <v>2448</v>
      </c>
      <c r="O369" s="19" t="s">
        <v>557</v>
      </c>
      <c r="P369" s="19" t="s">
        <v>568</v>
      </c>
      <c r="Q369" s="19" t="s">
        <v>655</v>
      </c>
      <c r="R369" s="19" t="s">
        <v>578</v>
      </c>
      <c r="S369" s="19" t="s">
        <v>1797</v>
      </c>
      <c r="T369" t="s">
        <v>62</v>
      </c>
      <c r="U369" s="22">
        <v>0</v>
      </c>
      <c r="V369" s="22">
        <v>0</v>
      </c>
      <c r="W369" s="22">
        <v>137.47</v>
      </c>
      <c r="X369" s="22">
        <v>0</v>
      </c>
      <c r="Y369" s="22">
        <v>21.05</v>
      </c>
      <c r="Z369" s="22">
        <v>0</v>
      </c>
      <c r="AA369" s="22">
        <v>0</v>
      </c>
      <c r="AB369" s="22">
        <v>0</v>
      </c>
      <c r="AC369" s="22">
        <v>0</v>
      </c>
      <c r="AD369" s="22">
        <v>0</v>
      </c>
      <c r="AE369" s="22">
        <v>158.52000000000001</v>
      </c>
      <c r="AF369" s="22">
        <f t="shared" si="5"/>
        <v>158.52000000000001</v>
      </c>
      <c r="AG369" s="22">
        <v>0</v>
      </c>
      <c r="AH369" s="22">
        <v>158.52000000000001</v>
      </c>
      <c r="AI369" t="s">
        <v>562</v>
      </c>
      <c r="AJ369" t="s">
        <v>1306</v>
      </c>
    </row>
    <row r="370" spans="1:36" ht="87" outlineLevel="2" x14ac:dyDescent="0.35">
      <c r="A370" s="19" t="s">
        <v>551</v>
      </c>
      <c r="B370" s="19" t="s">
        <v>697</v>
      </c>
      <c r="C370" s="19" t="s">
        <v>698</v>
      </c>
      <c r="D370" s="19">
        <v>2017</v>
      </c>
      <c r="E370" s="19" t="s">
        <v>1776</v>
      </c>
      <c r="F370" s="19">
        <v>80088755</v>
      </c>
      <c r="G370" s="19" t="s">
        <v>1798</v>
      </c>
      <c r="H370" s="19" t="s">
        <v>1799</v>
      </c>
      <c r="I370" s="19" t="s">
        <v>31</v>
      </c>
      <c r="J370" s="20">
        <v>1</v>
      </c>
      <c r="K370" s="21">
        <v>43259</v>
      </c>
      <c r="L370" s="21">
        <v>43264</v>
      </c>
      <c r="M370" s="21">
        <v>43293</v>
      </c>
      <c r="N370" s="24" t="s">
        <v>2448</v>
      </c>
      <c r="O370" s="19" t="s">
        <v>557</v>
      </c>
      <c r="P370" s="19" t="s">
        <v>609</v>
      </c>
      <c r="Q370" s="19" t="s">
        <v>610</v>
      </c>
      <c r="R370" s="19" t="s">
        <v>616</v>
      </c>
      <c r="S370" s="19" t="s">
        <v>1800</v>
      </c>
      <c r="T370" t="s">
        <v>69</v>
      </c>
      <c r="U370" s="22">
        <v>0</v>
      </c>
      <c r="V370" s="22">
        <v>0</v>
      </c>
      <c r="W370" s="22">
        <v>1270.1500000000001</v>
      </c>
      <c r="X370" s="22">
        <v>0</v>
      </c>
      <c r="Y370" s="22">
        <v>62.25</v>
      </c>
      <c r="Z370" s="22">
        <v>0</v>
      </c>
      <c r="AA370" s="22">
        <v>0</v>
      </c>
      <c r="AB370" s="22">
        <v>0</v>
      </c>
      <c r="AC370" s="22">
        <v>0</v>
      </c>
      <c r="AD370" s="22">
        <v>0</v>
      </c>
      <c r="AE370" s="22">
        <v>1332.4</v>
      </c>
      <c r="AF370" s="22">
        <f t="shared" si="5"/>
        <v>1332.4</v>
      </c>
      <c r="AG370" s="22">
        <v>0</v>
      </c>
      <c r="AH370" s="22">
        <v>1332.4</v>
      </c>
      <c r="AI370" t="s">
        <v>562</v>
      </c>
      <c r="AJ370" t="s">
        <v>1306</v>
      </c>
    </row>
    <row r="371" spans="1:36" ht="58" outlineLevel="2" x14ac:dyDescent="0.35">
      <c r="A371" s="19" t="s">
        <v>551</v>
      </c>
      <c r="B371" s="19" t="s">
        <v>672</v>
      </c>
      <c r="C371" s="19" t="s">
        <v>673</v>
      </c>
      <c r="D371" s="19">
        <v>2017</v>
      </c>
      <c r="E371" s="19" t="s">
        <v>1776</v>
      </c>
      <c r="F371" s="19">
        <v>80088766</v>
      </c>
      <c r="G371" s="19" t="s">
        <v>1801</v>
      </c>
      <c r="H371" s="19" t="s">
        <v>1802</v>
      </c>
      <c r="I371" s="19" t="s">
        <v>31</v>
      </c>
      <c r="J371" s="20">
        <v>1</v>
      </c>
      <c r="K371" s="21">
        <v>43258</v>
      </c>
      <c r="L371" s="21">
        <v>43258</v>
      </c>
      <c r="M371" s="21">
        <v>45134</v>
      </c>
      <c r="N371" s="24" t="s">
        <v>2448</v>
      </c>
      <c r="O371" s="19" t="s">
        <v>557</v>
      </c>
      <c r="P371" s="19" t="s">
        <v>609</v>
      </c>
      <c r="Q371" s="19" t="s">
        <v>1803</v>
      </c>
      <c r="R371" s="19" t="s">
        <v>591</v>
      </c>
      <c r="S371" s="19" t="s">
        <v>1804</v>
      </c>
      <c r="T371" t="s">
        <v>51</v>
      </c>
      <c r="U371" s="22">
        <v>22677.79</v>
      </c>
      <c r="V371" s="22">
        <v>0</v>
      </c>
      <c r="W371" s="22">
        <v>45245.84</v>
      </c>
      <c r="X371" s="22">
        <v>0</v>
      </c>
      <c r="Y371" s="22">
        <v>25423.37</v>
      </c>
      <c r="Z371" s="22">
        <v>0</v>
      </c>
      <c r="AA371" s="22">
        <v>0</v>
      </c>
      <c r="AB371" s="22">
        <v>-9.5</v>
      </c>
      <c r="AC371" s="22">
        <v>0</v>
      </c>
      <c r="AD371" s="22">
        <v>0</v>
      </c>
      <c r="AE371" s="22">
        <v>93347</v>
      </c>
      <c r="AF371" s="22">
        <f t="shared" si="5"/>
        <v>93337.5</v>
      </c>
      <c r="AG371" s="22">
        <v>0</v>
      </c>
      <c r="AH371" s="22">
        <v>93337.5</v>
      </c>
      <c r="AI371" t="s">
        <v>562</v>
      </c>
      <c r="AJ371" t="s">
        <v>1306</v>
      </c>
    </row>
    <row r="372" spans="1:36" ht="72.5" outlineLevel="2" x14ac:dyDescent="0.35">
      <c r="A372" s="19" t="s">
        <v>551</v>
      </c>
      <c r="B372" s="19" t="s">
        <v>636</v>
      </c>
      <c r="C372" s="19" t="s">
        <v>594</v>
      </c>
      <c r="D372" s="19">
        <v>2017</v>
      </c>
      <c r="E372" s="19" t="s">
        <v>1776</v>
      </c>
      <c r="F372" s="19">
        <v>80088856</v>
      </c>
      <c r="G372" s="19" t="s">
        <v>1805</v>
      </c>
      <c r="H372" s="19" t="s">
        <v>1806</v>
      </c>
      <c r="I372" s="19" t="s">
        <v>31</v>
      </c>
      <c r="J372" s="20">
        <v>1</v>
      </c>
      <c r="K372" s="21">
        <v>43258</v>
      </c>
      <c r="L372" s="21">
        <v>43262</v>
      </c>
      <c r="M372" s="21">
        <v>43692</v>
      </c>
      <c r="N372" s="24" t="s">
        <v>2448</v>
      </c>
      <c r="O372" s="19" t="s">
        <v>557</v>
      </c>
      <c r="P372" s="19" t="s">
        <v>665</v>
      </c>
      <c r="Q372" s="19" t="s">
        <v>735</v>
      </c>
      <c r="R372" s="19" t="s">
        <v>570</v>
      </c>
      <c r="S372" s="19" t="s">
        <v>1807</v>
      </c>
      <c r="T372" t="s">
        <v>33</v>
      </c>
      <c r="U372" s="22">
        <v>0</v>
      </c>
      <c r="V372" s="22">
        <v>0</v>
      </c>
      <c r="W372" s="22">
        <v>390.26</v>
      </c>
      <c r="X372" s="22">
        <v>0</v>
      </c>
      <c r="Y372" s="22">
        <v>67.28</v>
      </c>
      <c r="Z372" s="22">
        <v>0</v>
      </c>
      <c r="AA372" s="22">
        <v>0</v>
      </c>
      <c r="AB372" s="22">
        <v>0</v>
      </c>
      <c r="AC372" s="22">
        <v>0</v>
      </c>
      <c r="AD372" s="22">
        <v>0</v>
      </c>
      <c r="AE372" s="22">
        <v>457.54</v>
      </c>
      <c r="AF372" s="22">
        <f t="shared" si="5"/>
        <v>457.54</v>
      </c>
      <c r="AG372" s="22">
        <v>0</v>
      </c>
      <c r="AH372" s="22">
        <v>457.54</v>
      </c>
      <c r="AI372" t="s">
        <v>562</v>
      </c>
      <c r="AJ372" t="s">
        <v>1306</v>
      </c>
    </row>
    <row r="373" spans="1:36" ht="87" outlineLevel="2" x14ac:dyDescent="0.35">
      <c r="A373" s="19" t="s">
        <v>551</v>
      </c>
      <c r="B373" s="19" t="s">
        <v>636</v>
      </c>
      <c r="C373" s="19" t="s">
        <v>594</v>
      </c>
      <c r="D373" s="19">
        <v>2017</v>
      </c>
      <c r="E373" s="19" t="s">
        <v>1776</v>
      </c>
      <c r="F373" s="19">
        <v>80088774</v>
      </c>
      <c r="G373" s="19" t="s">
        <v>1808</v>
      </c>
      <c r="H373" s="19" t="s">
        <v>1809</v>
      </c>
      <c r="I373" s="19" t="s">
        <v>31</v>
      </c>
      <c r="J373" s="20">
        <v>1</v>
      </c>
      <c r="K373" s="21">
        <v>43256</v>
      </c>
      <c r="L373" s="21">
        <v>43256</v>
      </c>
      <c r="M373" s="21">
        <v>43308</v>
      </c>
      <c r="N373" s="24" t="s">
        <v>2448</v>
      </c>
      <c r="O373" s="19" t="s">
        <v>557</v>
      </c>
      <c r="P373" s="19" t="s">
        <v>576</v>
      </c>
      <c r="Q373" s="19" t="s">
        <v>634</v>
      </c>
      <c r="R373" s="19" t="s">
        <v>578</v>
      </c>
      <c r="S373" s="19" t="s">
        <v>1810</v>
      </c>
      <c r="T373" t="s">
        <v>33</v>
      </c>
      <c r="U373" s="22">
        <v>0</v>
      </c>
      <c r="V373" s="22">
        <v>0</v>
      </c>
      <c r="W373" s="22">
        <v>814.4</v>
      </c>
      <c r="X373" s="22">
        <v>0</v>
      </c>
      <c r="Y373" s="22">
        <v>40.67</v>
      </c>
      <c r="Z373" s="22">
        <v>0</v>
      </c>
      <c r="AA373" s="22">
        <v>0</v>
      </c>
      <c r="AB373" s="22">
        <v>0</v>
      </c>
      <c r="AC373" s="22">
        <v>0</v>
      </c>
      <c r="AD373" s="22">
        <v>0</v>
      </c>
      <c r="AE373" s="22">
        <v>855.07</v>
      </c>
      <c r="AF373" s="22">
        <f t="shared" si="5"/>
        <v>855.07</v>
      </c>
      <c r="AG373" s="22">
        <v>0</v>
      </c>
      <c r="AH373" s="22">
        <v>855.07</v>
      </c>
      <c r="AI373" t="s">
        <v>562</v>
      </c>
      <c r="AJ373" t="s">
        <v>1306</v>
      </c>
    </row>
    <row r="374" spans="1:36" ht="58" outlineLevel="2" x14ac:dyDescent="0.35">
      <c r="A374" s="19" t="s">
        <v>551</v>
      </c>
      <c r="B374" s="19" t="s">
        <v>636</v>
      </c>
      <c r="C374" s="19" t="s">
        <v>594</v>
      </c>
      <c r="D374" s="19">
        <v>2017</v>
      </c>
      <c r="E374" s="19" t="s">
        <v>1776</v>
      </c>
      <c r="F374" s="19">
        <v>80088861</v>
      </c>
      <c r="G374" s="19" t="s">
        <v>1811</v>
      </c>
      <c r="H374" s="19" t="s">
        <v>1812</v>
      </c>
      <c r="I374" s="19" t="s">
        <v>31</v>
      </c>
      <c r="J374" s="20">
        <v>1</v>
      </c>
      <c r="K374" s="21">
        <v>43256</v>
      </c>
      <c r="L374" s="21">
        <v>43256</v>
      </c>
      <c r="M374" s="21">
        <v>43300</v>
      </c>
      <c r="N374" s="24" t="s">
        <v>2448</v>
      </c>
      <c r="O374" s="19" t="s">
        <v>557</v>
      </c>
      <c r="P374" s="19" t="s">
        <v>568</v>
      </c>
      <c r="Q374" s="19" t="s">
        <v>683</v>
      </c>
      <c r="R374" s="19" t="s">
        <v>616</v>
      </c>
      <c r="S374" s="19" t="s">
        <v>1813</v>
      </c>
      <c r="T374" t="s">
        <v>33</v>
      </c>
      <c r="U374" s="22">
        <v>82.59</v>
      </c>
      <c r="V374" s="22">
        <v>0</v>
      </c>
      <c r="W374" s="22">
        <v>299.41000000000003</v>
      </c>
      <c r="X374" s="22">
        <v>0</v>
      </c>
      <c r="Y374" s="22">
        <v>30.21</v>
      </c>
      <c r="Z374" s="22">
        <v>0</v>
      </c>
      <c r="AA374" s="22">
        <v>0</v>
      </c>
      <c r="AB374" s="22">
        <v>0</v>
      </c>
      <c r="AC374" s="22">
        <v>0</v>
      </c>
      <c r="AD374" s="22">
        <v>0</v>
      </c>
      <c r="AE374" s="22">
        <v>412.21</v>
      </c>
      <c r="AF374" s="22">
        <f t="shared" si="5"/>
        <v>412.21</v>
      </c>
      <c r="AG374" s="22">
        <v>0</v>
      </c>
      <c r="AH374" s="22">
        <v>412.21</v>
      </c>
      <c r="AI374" t="s">
        <v>562</v>
      </c>
      <c r="AJ374" t="s">
        <v>1306</v>
      </c>
    </row>
    <row r="375" spans="1:36" ht="101.5" outlineLevel="2" x14ac:dyDescent="0.35">
      <c r="A375" s="19" t="s">
        <v>551</v>
      </c>
      <c r="B375" s="19" t="s">
        <v>945</v>
      </c>
      <c r="C375" s="19" t="s">
        <v>946</v>
      </c>
      <c r="D375" s="19">
        <v>2017</v>
      </c>
      <c r="E375" s="19" t="s">
        <v>1776</v>
      </c>
      <c r="F375" s="19">
        <v>80088851</v>
      </c>
      <c r="G375" s="19" t="s">
        <v>1814</v>
      </c>
      <c r="H375" s="19" t="s">
        <v>1815</v>
      </c>
      <c r="I375" s="19" t="s">
        <v>31</v>
      </c>
      <c r="J375" s="20">
        <v>1</v>
      </c>
      <c r="K375" s="21">
        <v>43255</v>
      </c>
      <c r="L375" s="21">
        <v>43304</v>
      </c>
      <c r="M375" s="21">
        <v>43370</v>
      </c>
      <c r="N375" s="24" t="s">
        <v>2448</v>
      </c>
      <c r="O375" s="19" t="s">
        <v>557</v>
      </c>
      <c r="P375" s="19" t="s">
        <v>558</v>
      </c>
      <c r="Q375" s="19" t="s">
        <v>1242</v>
      </c>
      <c r="R375" s="19" t="s">
        <v>1816</v>
      </c>
      <c r="S375" s="19" t="s">
        <v>1817</v>
      </c>
      <c r="T375" t="s">
        <v>51</v>
      </c>
      <c r="U375" s="22">
        <v>0</v>
      </c>
      <c r="V375" s="22">
        <v>0</v>
      </c>
      <c r="W375" s="22">
        <v>0</v>
      </c>
      <c r="X375" s="22">
        <v>0</v>
      </c>
      <c r="Y375" s="22">
        <v>0</v>
      </c>
      <c r="Z375" s="22">
        <v>0</v>
      </c>
      <c r="AA375" s="22">
        <v>0</v>
      </c>
      <c r="AB375" s="22">
        <v>0</v>
      </c>
      <c r="AC375" s="22">
        <v>0</v>
      </c>
      <c r="AD375" s="22">
        <v>0</v>
      </c>
      <c r="AE375" s="22">
        <v>0</v>
      </c>
      <c r="AF375" s="22">
        <f t="shared" si="5"/>
        <v>0</v>
      </c>
      <c r="AG375" s="22">
        <v>0</v>
      </c>
      <c r="AH375" s="22">
        <v>0</v>
      </c>
      <c r="AI375" t="s">
        <v>562</v>
      </c>
      <c r="AJ375" t="s">
        <v>1306</v>
      </c>
    </row>
    <row r="376" spans="1:36" ht="29" outlineLevel="2" x14ac:dyDescent="0.35">
      <c r="A376" s="19" t="s">
        <v>551</v>
      </c>
      <c r="B376" s="19" t="s">
        <v>1001</v>
      </c>
      <c r="C376" s="19" t="s">
        <v>1002</v>
      </c>
      <c r="D376" s="19">
        <v>2017</v>
      </c>
      <c r="E376" s="19" t="s">
        <v>1776</v>
      </c>
      <c r="F376" s="19">
        <v>80088749</v>
      </c>
      <c r="G376" s="19" t="s">
        <v>1818</v>
      </c>
      <c r="H376" s="19" t="s">
        <v>1819</v>
      </c>
      <c r="I376" s="19" t="s">
        <v>31</v>
      </c>
      <c r="J376" s="20">
        <v>1</v>
      </c>
      <c r="K376" s="21">
        <v>43251</v>
      </c>
      <c r="L376" s="21">
        <v>43256</v>
      </c>
      <c r="M376" s="21">
        <v>43340</v>
      </c>
      <c r="N376" s="24" t="s">
        <v>2448</v>
      </c>
      <c r="O376" s="19" t="s">
        <v>557</v>
      </c>
      <c r="P376" s="19" t="s">
        <v>609</v>
      </c>
      <c r="Q376" s="19" t="s">
        <v>735</v>
      </c>
      <c r="R376" s="19" t="s">
        <v>570</v>
      </c>
      <c r="S376" s="19" t="s">
        <v>1820</v>
      </c>
      <c r="T376" t="s">
        <v>51</v>
      </c>
      <c r="U376" s="22">
        <v>0</v>
      </c>
      <c r="V376" s="22">
        <v>0</v>
      </c>
      <c r="W376" s="22">
        <v>1265.78</v>
      </c>
      <c r="X376" s="22">
        <v>0</v>
      </c>
      <c r="Y376" s="22">
        <v>135.18</v>
      </c>
      <c r="Z376" s="22">
        <v>0</v>
      </c>
      <c r="AA376" s="22">
        <v>0</v>
      </c>
      <c r="AB376" s="22">
        <v>0</v>
      </c>
      <c r="AC376" s="22">
        <v>0</v>
      </c>
      <c r="AD376" s="22">
        <v>0</v>
      </c>
      <c r="AE376" s="22">
        <v>1400.96</v>
      </c>
      <c r="AF376" s="22">
        <f t="shared" si="5"/>
        <v>1400.96</v>
      </c>
      <c r="AG376" s="22">
        <v>0</v>
      </c>
      <c r="AH376" s="22">
        <v>1400.96</v>
      </c>
      <c r="AI376" t="s">
        <v>562</v>
      </c>
      <c r="AJ376" t="s">
        <v>1306</v>
      </c>
    </row>
    <row r="377" spans="1:36" ht="43.5" outlineLevel="2" x14ac:dyDescent="0.35">
      <c r="A377" s="19" t="s">
        <v>551</v>
      </c>
      <c r="B377" s="19" t="s">
        <v>717</v>
      </c>
      <c r="C377" s="19" t="s">
        <v>673</v>
      </c>
      <c r="D377" s="19">
        <v>2017</v>
      </c>
      <c r="E377" s="19" t="s">
        <v>1776</v>
      </c>
      <c r="F377" s="19">
        <v>80088764</v>
      </c>
      <c r="G377" s="19" t="s">
        <v>1821</v>
      </c>
      <c r="H377" s="19" t="s">
        <v>1822</v>
      </c>
      <c r="I377" s="19" t="s">
        <v>31</v>
      </c>
      <c r="J377" s="20">
        <v>1</v>
      </c>
      <c r="K377" s="21">
        <v>43245</v>
      </c>
      <c r="L377" s="21">
        <v>43252</v>
      </c>
      <c r="M377" s="21">
        <v>43702</v>
      </c>
      <c r="N377" s="24" t="s">
        <v>2448</v>
      </c>
      <c r="O377" s="19" t="s">
        <v>557</v>
      </c>
      <c r="P377" s="19" t="s">
        <v>665</v>
      </c>
      <c r="Q377" s="19" t="s">
        <v>597</v>
      </c>
      <c r="R377" s="19" t="s">
        <v>570</v>
      </c>
      <c r="S377" s="19" t="s">
        <v>1823</v>
      </c>
      <c r="T377" t="s">
        <v>51</v>
      </c>
      <c r="U377" s="22">
        <v>291.06</v>
      </c>
      <c r="V377" s="22">
        <v>0</v>
      </c>
      <c r="W377" s="22">
        <v>1035.69</v>
      </c>
      <c r="X377" s="22">
        <v>0</v>
      </c>
      <c r="Y377" s="22">
        <v>478.62</v>
      </c>
      <c r="Z377" s="22">
        <v>0</v>
      </c>
      <c r="AA377" s="22">
        <v>0</v>
      </c>
      <c r="AB377" s="22">
        <v>0</v>
      </c>
      <c r="AC377" s="22">
        <v>0</v>
      </c>
      <c r="AD377" s="22">
        <v>0</v>
      </c>
      <c r="AE377" s="22">
        <v>1805.37</v>
      </c>
      <c r="AF377" s="22">
        <f t="shared" si="5"/>
        <v>1805.37</v>
      </c>
      <c r="AG377" s="22">
        <v>0</v>
      </c>
      <c r="AH377" s="22">
        <v>1805.37</v>
      </c>
      <c r="AI377" t="s">
        <v>562</v>
      </c>
      <c r="AJ377" t="s">
        <v>1306</v>
      </c>
    </row>
    <row r="378" spans="1:36" ht="29" outlineLevel="2" x14ac:dyDescent="0.35">
      <c r="A378" s="19" t="s">
        <v>551</v>
      </c>
      <c r="B378" s="19" t="s">
        <v>672</v>
      </c>
      <c r="C378" s="19" t="s">
        <v>673</v>
      </c>
      <c r="D378" s="19">
        <v>2017</v>
      </c>
      <c r="E378" s="19" t="s">
        <v>1776</v>
      </c>
      <c r="F378" s="19">
        <v>80090690</v>
      </c>
      <c r="G378" s="19" t="s">
        <v>1824</v>
      </c>
      <c r="H378" s="19" t="s">
        <v>1825</v>
      </c>
      <c r="I378" s="19" t="s">
        <v>31</v>
      </c>
      <c r="J378" s="20">
        <v>1</v>
      </c>
      <c r="K378" s="21">
        <v>43244</v>
      </c>
      <c r="L378" s="21">
        <v>43245</v>
      </c>
      <c r="M378" s="21">
        <v>43378</v>
      </c>
      <c r="N378" s="24" t="s">
        <v>2448</v>
      </c>
      <c r="O378" s="19" t="s">
        <v>557</v>
      </c>
      <c r="P378" s="19" t="s">
        <v>568</v>
      </c>
      <c r="Q378" s="19" t="s">
        <v>577</v>
      </c>
      <c r="R378" s="19" t="s">
        <v>616</v>
      </c>
      <c r="S378" s="19" t="s">
        <v>1826</v>
      </c>
      <c r="T378" t="s">
        <v>51</v>
      </c>
      <c r="U378" s="22">
        <v>84.58</v>
      </c>
      <c r="V378" s="22">
        <v>0</v>
      </c>
      <c r="W378" s="22">
        <v>846.56</v>
      </c>
      <c r="X378" s="22">
        <v>0</v>
      </c>
      <c r="Y378" s="22">
        <v>16.829999999999998</v>
      </c>
      <c r="Z378" s="22">
        <v>0</v>
      </c>
      <c r="AA378" s="22">
        <v>0</v>
      </c>
      <c r="AB378" s="22">
        <v>0</v>
      </c>
      <c r="AC378" s="22">
        <v>0</v>
      </c>
      <c r="AD378" s="22">
        <v>0</v>
      </c>
      <c r="AE378" s="22">
        <v>947.97</v>
      </c>
      <c r="AF378" s="22">
        <f t="shared" si="5"/>
        <v>947.97</v>
      </c>
      <c r="AG378" s="22">
        <v>0</v>
      </c>
      <c r="AH378" s="22">
        <v>947.97</v>
      </c>
      <c r="AI378" t="s">
        <v>562</v>
      </c>
      <c r="AJ378" t="s">
        <v>1306</v>
      </c>
    </row>
    <row r="379" spans="1:36" ht="58" outlineLevel="2" x14ac:dyDescent="0.35">
      <c r="A379" s="19" t="s">
        <v>551</v>
      </c>
      <c r="B379" s="19" t="s">
        <v>636</v>
      </c>
      <c r="C379" s="19" t="s">
        <v>594</v>
      </c>
      <c r="D379" s="19">
        <v>2017</v>
      </c>
      <c r="E379" s="19" t="s">
        <v>1776</v>
      </c>
      <c r="F379" s="19">
        <v>80090691</v>
      </c>
      <c r="G379" s="19" t="s">
        <v>1827</v>
      </c>
      <c r="H379" s="19" t="s">
        <v>1828</v>
      </c>
      <c r="I379" s="19" t="s">
        <v>31</v>
      </c>
      <c r="J379" s="20">
        <v>1</v>
      </c>
      <c r="K379" s="21">
        <v>43241</v>
      </c>
      <c r="L379" s="21">
        <v>43244</v>
      </c>
      <c r="M379" s="21">
        <v>44144</v>
      </c>
      <c r="N379" s="24" t="s">
        <v>2448</v>
      </c>
      <c r="O379" s="19" t="s">
        <v>557</v>
      </c>
      <c r="P379" s="19" t="s">
        <v>568</v>
      </c>
      <c r="Q379" s="19" t="s">
        <v>1728</v>
      </c>
      <c r="R379" s="19" t="s">
        <v>578</v>
      </c>
      <c r="S379" s="19" t="s">
        <v>1829</v>
      </c>
      <c r="T379" t="s">
        <v>33</v>
      </c>
      <c r="U379" s="22">
        <v>0</v>
      </c>
      <c r="V379" s="22">
        <v>0</v>
      </c>
      <c r="W379" s="22">
        <v>83.95</v>
      </c>
      <c r="X379" s="22">
        <v>0</v>
      </c>
      <c r="Y379" s="22">
        <v>13.65</v>
      </c>
      <c r="Z379" s="22">
        <v>0</v>
      </c>
      <c r="AA379" s="22">
        <v>0</v>
      </c>
      <c r="AB379" s="22">
        <v>0</v>
      </c>
      <c r="AC379" s="22">
        <v>0</v>
      </c>
      <c r="AD379" s="22">
        <v>0</v>
      </c>
      <c r="AE379" s="22">
        <v>97.6</v>
      </c>
      <c r="AF379" s="22">
        <f t="shared" si="5"/>
        <v>97.6</v>
      </c>
      <c r="AG379" s="22">
        <v>0</v>
      </c>
      <c r="AH379" s="22">
        <v>97.6</v>
      </c>
      <c r="AI379" t="s">
        <v>562</v>
      </c>
      <c r="AJ379" t="s">
        <v>1306</v>
      </c>
    </row>
    <row r="380" spans="1:36" ht="58" outlineLevel="2" x14ac:dyDescent="0.35">
      <c r="A380" s="19" t="s">
        <v>551</v>
      </c>
      <c r="B380" s="19" t="s">
        <v>636</v>
      </c>
      <c r="C380" s="19" t="s">
        <v>594</v>
      </c>
      <c r="D380" s="19">
        <v>2017</v>
      </c>
      <c r="E380" s="19" t="s">
        <v>1776</v>
      </c>
      <c r="F380" s="19">
        <v>80090708</v>
      </c>
      <c r="G380" s="19" t="s">
        <v>1830</v>
      </c>
      <c r="H380" s="19" t="s">
        <v>1831</v>
      </c>
      <c r="I380" s="19" t="s">
        <v>31</v>
      </c>
      <c r="J380" s="20">
        <v>1</v>
      </c>
      <c r="K380" s="21">
        <v>43237</v>
      </c>
      <c r="L380" s="21">
        <v>43238</v>
      </c>
      <c r="M380" s="21">
        <v>43287</v>
      </c>
      <c r="N380" s="24" t="s">
        <v>2448</v>
      </c>
      <c r="O380" s="19" t="s">
        <v>557</v>
      </c>
      <c r="P380" s="19" t="s">
        <v>568</v>
      </c>
      <c r="Q380" s="19" t="s">
        <v>655</v>
      </c>
      <c r="R380" s="19" t="s">
        <v>578</v>
      </c>
      <c r="S380" s="19" t="s">
        <v>1832</v>
      </c>
      <c r="T380" t="s">
        <v>33</v>
      </c>
      <c r="U380" s="22">
        <v>0</v>
      </c>
      <c r="V380" s="22">
        <v>0</v>
      </c>
      <c r="W380" s="22">
        <v>279.27</v>
      </c>
      <c r="X380" s="22">
        <v>0</v>
      </c>
      <c r="Y380" s="22">
        <v>9.5</v>
      </c>
      <c r="Z380" s="22">
        <v>0</v>
      </c>
      <c r="AA380" s="22">
        <v>0</v>
      </c>
      <c r="AB380" s="22">
        <v>0</v>
      </c>
      <c r="AC380" s="22">
        <v>0</v>
      </c>
      <c r="AD380" s="22">
        <v>0</v>
      </c>
      <c r="AE380" s="22">
        <v>288.77</v>
      </c>
      <c r="AF380" s="22">
        <f t="shared" si="5"/>
        <v>288.77</v>
      </c>
      <c r="AG380" s="22">
        <v>0</v>
      </c>
      <c r="AH380" s="22">
        <v>288.77</v>
      </c>
      <c r="AI380" t="s">
        <v>562</v>
      </c>
      <c r="AJ380" t="s">
        <v>1306</v>
      </c>
    </row>
    <row r="381" spans="1:36" ht="72.5" outlineLevel="2" x14ac:dyDescent="0.35">
      <c r="A381" s="19" t="s">
        <v>551</v>
      </c>
      <c r="B381" s="19" t="s">
        <v>636</v>
      </c>
      <c r="C381" s="19" t="s">
        <v>594</v>
      </c>
      <c r="D381" s="19">
        <v>2017</v>
      </c>
      <c r="E381" s="19" t="s">
        <v>1776</v>
      </c>
      <c r="F381" s="19">
        <v>80090688</v>
      </c>
      <c r="G381" s="19" t="s">
        <v>1833</v>
      </c>
      <c r="H381" s="19" t="s">
        <v>1834</v>
      </c>
      <c r="I381" s="19" t="s">
        <v>31</v>
      </c>
      <c r="J381" s="20">
        <v>1</v>
      </c>
      <c r="K381" s="21">
        <v>43236</v>
      </c>
      <c r="L381" s="21">
        <v>43237</v>
      </c>
      <c r="M381" s="21">
        <v>43266</v>
      </c>
      <c r="N381" s="24" t="s">
        <v>2448</v>
      </c>
      <c r="O381" s="19" t="s">
        <v>557</v>
      </c>
      <c r="P381" s="19" t="s">
        <v>609</v>
      </c>
      <c r="Q381" s="19" t="s">
        <v>655</v>
      </c>
      <c r="R381" s="19" t="s">
        <v>578</v>
      </c>
      <c r="S381" s="19" t="s">
        <v>1835</v>
      </c>
      <c r="T381" t="s">
        <v>33</v>
      </c>
      <c r="U381" s="22">
        <v>0</v>
      </c>
      <c r="V381" s="22">
        <v>0</v>
      </c>
      <c r="W381" s="22">
        <v>814.44</v>
      </c>
      <c r="X381" s="22">
        <v>0</v>
      </c>
      <c r="Y381" s="22">
        <v>9.5</v>
      </c>
      <c r="Z381" s="22">
        <v>0</v>
      </c>
      <c r="AA381" s="22">
        <v>0</v>
      </c>
      <c r="AB381" s="22">
        <v>0</v>
      </c>
      <c r="AC381" s="22">
        <v>0</v>
      </c>
      <c r="AD381" s="22">
        <v>0</v>
      </c>
      <c r="AE381" s="22">
        <v>823.94</v>
      </c>
      <c r="AF381" s="22">
        <f t="shared" si="5"/>
        <v>823.94</v>
      </c>
      <c r="AG381" s="22">
        <v>0</v>
      </c>
      <c r="AH381" s="22">
        <v>823.94</v>
      </c>
      <c r="AI381" t="s">
        <v>562</v>
      </c>
      <c r="AJ381" t="s">
        <v>1306</v>
      </c>
    </row>
    <row r="382" spans="1:36" ht="43.5" outlineLevel="2" x14ac:dyDescent="0.35">
      <c r="A382" s="19" t="s">
        <v>551</v>
      </c>
      <c r="B382" s="19" t="s">
        <v>945</v>
      </c>
      <c r="C382" s="19" t="s">
        <v>946</v>
      </c>
      <c r="D382" s="19">
        <v>2017</v>
      </c>
      <c r="E382" s="19" t="s">
        <v>1776</v>
      </c>
      <c r="F382" s="19">
        <v>80088751</v>
      </c>
      <c r="G382" s="19" t="s">
        <v>1836</v>
      </c>
      <c r="H382" s="19" t="s">
        <v>1837</v>
      </c>
      <c r="I382" s="19" t="s">
        <v>31</v>
      </c>
      <c r="J382" s="20">
        <v>1</v>
      </c>
      <c r="K382" s="21">
        <v>43235</v>
      </c>
      <c r="L382" s="21">
        <v>43250</v>
      </c>
      <c r="M382" s="21">
        <v>43643</v>
      </c>
      <c r="N382" s="24" t="s">
        <v>2448</v>
      </c>
      <c r="O382" s="19" t="s">
        <v>557</v>
      </c>
      <c r="P382" s="19" t="s">
        <v>568</v>
      </c>
      <c r="Q382" s="19" t="s">
        <v>584</v>
      </c>
      <c r="R382" s="19" t="s">
        <v>689</v>
      </c>
      <c r="S382" s="19" t="s">
        <v>1838</v>
      </c>
      <c r="T382" t="s">
        <v>51</v>
      </c>
      <c r="U382" s="22">
        <v>0</v>
      </c>
      <c r="V382" s="22">
        <v>0</v>
      </c>
      <c r="W382" s="22">
        <v>2960.37</v>
      </c>
      <c r="X382" s="22">
        <v>0</v>
      </c>
      <c r="Y382" s="22">
        <v>248.32</v>
      </c>
      <c r="Z382" s="22">
        <v>0</v>
      </c>
      <c r="AA382" s="22">
        <v>0</v>
      </c>
      <c r="AB382" s="22">
        <v>0</v>
      </c>
      <c r="AC382" s="22">
        <v>0</v>
      </c>
      <c r="AD382" s="22">
        <v>0</v>
      </c>
      <c r="AE382" s="22">
        <v>3208.69</v>
      </c>
      <c r="AF382" s="22">
        <f t="shared" si="5"/>
        <v>3208.69</v>
      </c>
      <c r="AG382" s="22">
        <v>0</v>
      </c>
      <c r="AH382" s="22">
        <v>3208.69</v>
      </c>
      <c r="AI382" t="s">
        <v>562</v>
      </c>
      <c r="AJ382" t="s">
        <v>1306</v>
      </c>
    </row>
    <row r="383" spans="1:36" ht="116" outlineLevel="2" x14ac:dyDescent="0.35">
      <c r="A383" s="19" t="s">
        <v>551</v>
      </c>
      <c r="B383" s="19" t="s">
        <v>636</v>
      </c>
      <c r="C383" s="19" t="s">
        <v>594</v>
      </c>
      <c r="D383" s="19">
        <v>2017</v>
      </c>
      <c r="E383" s="19" t="s">
        <v>1776</v>
      </c>
      <c r="F383" s="19">
        <v>80090687</v>
      </c>
      <c r="G383" s="19" t="s">
        <v>1839</v>
      </c>
      <c r="H383" s="19" t="s">
        <v>1840</v>
      </c>
      <c r="I383" s="19" t="s">
        <v>31</v>
      </c>
      <c r="J383" s="20">
        <v>1</v>
      </c>
      <c r="K383" s="21">
        <v>43228</v>
      </c>
      <c r="L383" s="21">
        <v>43229</v>
      </c>
      <c r="M383" s="21">
        <v>43808</v>
      </c>
      <c r="N383" s="24" t="s">
        <v>2448</v>
      </c>
      <c r="O383" s="19" t="s">
        <v>557</v>
      </c>
      <c r="P383" s="19" t="s">
        <v>576</v>
      </c>
      <c r="Q383" s="19" t="s">
        <v>1841</v>
      </c>
      <c r="R383" s="19" t="s">
        <v>578</v>
      </c>
      <c r="S383" s="19" t="s">
        <v>1842</v>
      </c>
      <c r="T383" t="s">
        <v>33</v>
      </c>
      <c r="U383" s="22">
        <v>0</v>
      </c>
      <c r="V383" s="22">
        <v>0</v>
      </c>
      <c r="W383" s="22">
        <v>6009.24</v>
      </c>
      <c r="X383" s="22">
        <v>0</v>
      </c>
      <c r="Y383" s="22">
        <v>139.75</v>
      </c>
      <c r="Z383" s="22">
        <v>0</v>
      </c>
      <c r="AA383" s="22">
        <v>0</v>
      </c>
      <c r="AB383" s="22">
        <v>0</v>
      </c>
      <c r="AC383" s="22">
        <v>0</v>
      </c>
      <c r="AD383" s="22">
        <v>0</v>
      </c>
      <c r="AE383" s="22">
        <v>6148.99</v>
      </c>
      <c r="AF383" s="22">
        <f t="shared" si="5"/>
        <v>6148.99</v>
      </c>
      <c r="AG383" s="22">
        <v>0</v>
      </c>
      <c r="AH383" s="22">
        <v>6148.99</v>
      </c>
      <c r="AI383" t="s">
        <v>562</v>
      </c>
      <c r="AJ383" t="s">
        <v>1306</v>
      </c>
    </row>
    <row r="384" spans="1:36" ht="43.5" outlineLevel="2" x14ac:dyDescent="0.35">
      <c r="A384" s="19" t="s">
        <v>551</v>
      </c>
      <c r="B384" s="19" t="s">
        <v>986</v>
      </c>
      <c r="C384" s="19" t="s">
        <v>553</v>
      </c>
      <c r="D384" s="19">
        <v>2017</v>
      </c>
      <c r="E384" s="19" t="s">
        <v>1776</v>
      </c>
      <c r="F384" s="19">
        <v>80088838</v>
      </c>
      <c r="G384" s="19" t="s">
        <v>1843</v>
      </c>
      <c r="H384" s="19" t="s">
        <v>1844</v>
      </c>
      <c r="I384" s="19" t="s">
        <v>31</v>
      </c>
      <c r="J384" s="20">
        <v>1</v>
      </c>
      <c r="K384" s="21">
        <v>43221</v>
      </c>
      <c r="L384" s="21">
        <v>43273</v>
      </c>
      <c r="M384" s="21">
        <v>43383</v>
      </c>
      <c r="N384" s="24" t="s">
        <v>2448</v>
      </c>
      <c r="O384" s="19" t="s">
        <v>557</v>
      </c>
      <c r="P384" s="19" t="s">
        <v>568</v>
      </c>
      <c r="Q384" s="19" t="s">
        <v>655</v>
      </c>
      <c r="R384" s="19" t="s">
        <v>578</v>
      </c>
      <c r="S384" s="19" t="s">
        <v>1845</v>
      </c>
      <c r="T384" t="s">
        <v>169</v>
      </c>
      <c r="U384" s="22">
        <v>0</v>
      </c>
      <c r="V384" s="22">
        <v>0</v>
      </c>
      <c r="W384" s="22">
        <v>595.28</v>
      </c>
      <c r="X384" s="22">
        <v>0</v>
      </c>
      <c r="Y384" s="22">
        <v>99.45</v>
      </c>
      <c r="Z384" s="22">
        <v>0</v>
      </c>
      <c r="AA384" s="22">
        <v>0</v>
      </c>
      <c r="AB384" s="22">
        <v>0</v>
      </c>
      <c r="AC384" s="22">
        <v>0</v>
      </c>
      <c r="AD384" s="22">
        <v>0</v>
      </c>
      <c r="AE384" s="22">
        <v>694.73</v>
      </c>
      <c r="AF384" s="22">
        <f t="shared" si="5"/>
        <v>694.73</v>
      </c>
      <c r="AG384" s="22">
        <v>0</v>
      </c>
      <c r="AH384" s="22">
        <v>694.73</v>
      </c>
      <c r="AI384" t="s">
        <v>562</v>
      </c>
      <c r="AJ384" t="s">
        <v>1306</v>
      </c>
    </row>
    <row r="385" spans="1:36" ht="43.5" outlineLevel="2" x14ac:dyDescent="0.35">
      <c r="A385" s="19" t="s">
        <v>551</v>
      </c>
      <c r="B385" s="19" t="s">
        <v>572</v>
      </c>
      <c r="C385" s="19" t="s">
        <v>573</v>
      </c>
      <c r="D385" s="19">
        <v>2017</v>
      </c>
      <c r="E385" s="19" t="s">
        <v>1776</v>
      </c>
      <c r="F385" s="19">
        <v>80090699</v>
      </c>
      <c r="G385" s="19" t="s">
        <v>1846</v>
      </c>
      <c r="H385" s="19" t="s">
        <v>1847</v>
      </c>
      <c r="I385" s="19" t="s">
        <v>31</v>
      </c>
      <c r="J385" s="20">
        <v>1</v>
      </c>
      <c r="K385" s="21">
        <v>43220</v>
      </c>
      <c r="L385" s="21">
        <v>43224</v>
      </c>
      <c r="M385" s="21">
        <v>43313</v>
      </c>
      <c r="N385" s="24" t="s">
        <v>2448</v>
      </c>
      <c r="O385" s="19" t="s">
        <v>557</v>
      </c>
      <c r="P385" s="19" t="s">
        <v>665</v>
      </c>
      <c r="Q385" s="19" t="s">
        <v>569</v>
      </c>
      <c r="R385" s="19" t="s">
        <v>570</v>
      </c>
      <c r="S385" s="19" t="s">
        <v>1848</v>
      </c>
      <c r="T385" t="s">
        <v>139</v>
      </c>
      <c r="U385" s="22">
        <v>0</v>
      </c>
      <c r="V385" s="22">
        <v>0</v>
      </c>
      <c r="W385" s="22">
        <v>852.15</v>
      </c>
      <c r="X385" s="22">
        <v>0</v>
      </c>
      <c r="Y385" s="22">
        <v>65.150000000000006</v>
      </c>
      <c r="Z385" s="22">
        <v>0</v>
      </c>
      <c r="AA385" s="22">
        <v>0</v>
      </c>
      <c r="AB385" s="22">
        <v>0</v>
      </c>
      <c r="AC385" s="22">
        <v>0</v>
      </c>
      <c r="AD385" s="22">
        <v>0</v>
      </c>
      <c r="AE385" s="22">
        <v>917.3</v>
      </c>
      <c r="AF385" s="22">
        <f t="shared" si="5"/>
        <v>917.3</v>
      </c>
      <c r="AG385" s="22">
        <v>0</v>
      </c>
      <c r="AH385" s="22">
        <v>917.3</v>
      </c>
      <c r="AI385" t="s">
        <v>562</v>
      </c>
      <c r="AJ385" t="s">
        <v>1306</v>
      </c>
    </row>
    <row r="386" spans="1:36" ht="29" outlineLevel="2" x14ac:dyDescent="0.35">
      <c r="A386" s="19" t="s">
        <v>551</v>
      </c>
      <c r="B386" s="19" t="s">
        <v>636</v>
      </c>
      <c r="C386" s="19" t="s">
        <v>594</v>
      </c>
      <c r="D386" s="19">
        <v>2017</v>
      </c>
      <c r="E386" s="19" t="s">
        <v>1776</v>
      </c>
      <c r="F386" s="19">
        <v>80090693</v>
      </c>
      <c r="G386" s="19" t="s">
        <v>1849</v>
      </c>
      <c r="H386" s="19" t="s">
        <v>1850</v>
      </c>
      <c r="I386" s="19" t="s">
        <v>31</v>
      </c>
      <c r="J386" s="20">
        <v>1</v>
      </c>
      <c r="K386" s="21">
        <v>43217</v>
      </c>
      <c r="L386" s="21">
        <v>43220</v>
      </c>
      <c r="M386" s="21">
        <v>43347</v>
      </c>
      <c r="N386" s="24" t="s">
        <v>2448</v>
      </c>
      <c r="O386" s="19" t="s">
        <v>557</v>
      </c>
      <c r="P386" s="19" t="s">
        <v>609</v>
      </c>
      <c r="Q386" s="19" t="s">
        <v>597</v>
      </c>
      <c r="R386" s="19" t="s">
        <v>591</v>
      </c>
      <c r="S386" s="19" t="s">
        <v>1851</v>
      </c>
      <c r="T386" t="s">
        <v>33</v>
      </c>
      <c r="U386" s="22">
        <v>0</v>
      </c>
      <c r="V386" s="22">
        <v>0</v>
      </c>
      <c r="W386" s="22">
        <v>827.99</v>
      </c>
      <c r="X386" s="22">
        <v>0</v>
      </c>
      <c r="Y386" s="22">
        <v>41.42</v>
      </c>
      <c r="Z386" s="22">
        <v>0</v>
      </c>
      <c r="AA386" s="22">
        <v>0</v>
      </c>
      <c r="AB386" s="22">
        <v>0</v>
      </c>
      <c r="AC386" s="22">
        <v>0</v>
      </c>
      <c r="AD386" s="22">
        <v>0</v>
      </c>
      <c r="AE386" s="22">
        <v>869.41</v>
      </c>
      <c r="AF386" s="22">
        <f t="shared" si="5"/>
        <v>869.41</v>
      </c>
      <c r="AG386" s="22">
        <v>0</v>
      </c>
      <c r="AH386" s="22">
        <v>869.41</v>
      </c>
      <c r="AI386" t="s">
        <v>562</v>
      </c>
      <c r="AJ386" t="s">
        <v>1306</v>
      </c>
    </row>
    <row r="387" spans="1:36" ht="72.5" outlineLevel="2" x14ac:dyDescent="0.35">
      <c r="A387" s="19" t="s">
        <v>551</v>
      </c>
      <c r="B387" s="19" t="s">
        <v>1015</v>
      </c>
      <c r="C387" s="19" t="s">
        <v>1016</v>
      </c>
      <c r="D387" s="19">
        <v>2017</v>
      </c>
      <c r="E387" s="19" t="s">
        <v>1776</v>
      </c>
      <c r="F387" s="19">
        <v>80090712</v>
      </c>
      <c r="G387" s="19" t="s">
        <v>1852</v>
      </c>
      <c r="H387" s="19" t="s">
        <v>1853</v>
      </c>
      <c r="I387" s="19" t="s">
        <v>31</v>
      </c>
      <c r="J387" s="20">
        <v>1</v>
      </c>
      <c r="K387" s="21">
        <v>43217</v>
      </c>
      <c r="L387" s="21">
        <v>43224</v>
      </c>
      <c r="M387" s="21">
        <v>43516</v>
      </c>
      <c r="N387" s="24" t="s">
        <v>2448</v>
      </c>
      <c r="O387" s="19" t="s">
        <v>557</v>
      </c>
      <c r="P387" s="19" t="s">
        <v>665</v>
      </c>
      <c r="Q387" s="19" t="s">
        <v>661</v>
      </c>
      <c r="R387" s="19" t="s">
        <v>570</v>
      </c>
      <c r="S387" s="19" t="s">
        <v>1854</v>
      </c>
      <c r="T387" t="s">
        <v>1021</v>
      </c>
      <c r="U387" s="22">
        <v>0</v>
      </c>
      <c r="V387" s="22">
        <v>0</v>
      </c>
      <c r="W387" s="22">
        <v>3557.05</v>
      </c>
      <c r="X387" s="22">
        <v>0</v>
      </c>
      <c r="Y387" s="22">
        <v>300.87</v>
      </c>
      <c r="Z387" s="22">
        <v>0</v>
      </c>
      <c r="AA387" s="22">
        <v>0</v>
      </c>
      <c r="AB387" s="22">
        <v>0</v>
      </c>
      <c r="AC387" s="22">
        <v>0</v>
      </c>
      <c r="AD387" s="22">
        <v>0</v>
      </c>
      <c r="AE387" s="22">
        <v>3857.92</v>
      </c>
      <c r="AF387" s="22">
        <f t="shared" ref="AF387:AF450" si="6">AE387+AA387+AB387+AC387</f>
        <v>3857.92</v>
      </c>
      <c r="AG387" s="22">
        <v>0</v>
      </c>
      <c r="AH387" s="22">
        <v>3857.92</v>
      </c>
      <c r="AI387" t="s">
        <v>562</v>
      </c>
      <c r="AJ387" t="s">
        <v>1306</v>
      </c>
    </row>
    <row r="388" spans="1:36" ht="43.5" outlineLevel="2" x14ac:dyDescent="0.35">
      <c r="A388" s="19" t="s">
        <v>551</v>
      </c>
      <c r="B388" s="19" t="s">
        <v>572</v>
      </c>
      <c r="C388" s="19" t="s">
        <v>573</v>
      </c>
      <c r="D388" s="19">
        <v>2017</v>
      </c>
      <c r="E388" s="19" t="s">
        <v>1776</v>
      </c>
      <c r="F388" s="19">
        <v>80090703</v>
      </c>
      <c r="G388" s="19" t="s">
        <v>1855</v>
      </c>
      <c r="H388" s="19" t="s">
        <v>1856</v>
      </c>
      <c r="I388" s="19" t="s">
        <v>31</v>
      </c>
      <c r="J388" s="20">
        <v>1</v>
      </c>
      <c r="K388" s="21">
        <v>43215</v>
      </c>
      <c r="L388" s="21">
        <v>43227</v>
      </c>
      <c r="M388" s="21">
        <v>43791</v>
      </c>
      <c r="N388" s="24" t="s">
        <v>2448</v>
      </c>
      <c r="O388" s="19" t="s">
        <v>557</v>
      </c>
      <c r="P388" s="19" t="s">
        <v>665</v>
      </c>
      <c r="Q388" s="19" t="s">
        <v>735</v>
      </c>
      <c r="R388" s="19" t="s">
        <v>570</v>
      </c>
      <c r="S388" s="19" t="s">
        <v>1857</v>
      </c>
      <c r="T388" t="s">
        <v>139</v>
      </c>
      <c r="U388" s="22">
        <v>948.78</v>
      </c>
      <c r="V388" s="22">
        <v>0</v>
      </c>
      <c r="W388" s="22">
        <v>759.95</v>
      </c>
      <c r="X388" s="22">
        <v>0</v>
      </c>
      <c r="Y388" s="22">
        <v>10.63</v>
      </c>
      <c r="Z388" s="22">
        <v>0</v>
      </c>
      <c r="AA388" s="22">
        <v>0</v>
      </c>
      <c r="AB388" s="22">
        <v>0</v>
      </c>
      <c r="AC388" s="22">
        <v>0</v>
      </c>
      <c r="AD388" s="22">
        <v>0</v>
      </c>
      <c r="AE388" s="22">
        <v>1719.36</v>
      </c>
      <c r="AF388" s="22">
        <f t="shared" si="6"/>
        <v>1719.36</v>
      </c>
      <c r="AG388" s="22">
        <v>0</v>
      </c>
      <c r="AH388" s="22">
        <v>1719.36</v>
      </c>
      <c r="AI388" t="s">
        <v>562</v>
      </c>
      <c r="AJ388" t="s">
        <v>1306</v>
      </c>
    </row>
    <row r="389" spans="1:36" ht="58" outlineLevel="2" x14ac:dyDescent="0.35">
      <c r="A389" s="19" t="s">
        <v>551</v>
      </c>
      <c r="B389" s="19" t="s">
        <v>986</v>
      </c>
      <c r="C389" s="19" t="s">
        <v>553</v>
      </c>
      <c r="D389" s="19">
        <v>2017</v>
      </c>
      <c r="E389" s="19" t="s">
        <v>1776</v>
      </c>
      <c r="F389" s="19">
        <v>80089494</v>
      </c>
      <c r="G389" s="19" t="s">
        <v>1858</v>
      </c>
      <c r="H389" s="19" t="s">
        <v>1859</v>
      </c>
      <c r="I389" s="19" t="s">
        <v>31</v>
      </c>
      <c r="J389" s="20">
        <v>1</v>
      </c>
      <c r="K389" s="21">
        <v>43214</v>
      </c>
      <c r="L389" s="21">
        <v>43411</v>
      </c>
      <c r="M389" s="21">
        <v>43529</v>
      </c>
      <c r="N389" s="24" t="s">
        <v>2448</v>
      </c>
      <c r="O389" s="19" t="s">
        <v>557</v>
      </c>
      <c r="P389" s="19" t="s">
        <v>665</v>
      </c>
      <c r="Q389" s="19" t="s">
        <v>569</v>
      </c>
      <c r="R389" s="19" t="s">
        <v>570</v>
      </c>
      <c r="S389" s="19" t="s">
        <v>1860</v>
      </c>
      <c r="T389" t="s">
        <v>169</v>
      </c>
      <c r="U389" s="22">
        <v>0</v>
      </c>
      <c r="V389" s="22">
        <v>0</v>
      </c>
      <c r="W389" s="22">
        <v>237.6</v>
      </c>
      <c r="X389" s="22">
        <v>0</v>
      </c>
      <c r="Y389" s="22">
        <v>37.06</v>
      </c>
      <c r="Z389" s="22">
        <v>0</v>
      </c>
      <c r="AA389" s="22">
        <v>0</v>
      </c>
      <c r="AB389" s="22">
        <v>0</v>
      </c>
      <c r="AC389" s="22">
        <v>0</v>
      </c>
      <c r="AD389" s="22">
        <v>0</v>
      </c>
      <c r="AE389" s="22">
        <v>274.66000000000003</v>
      </c>
      <c r="AF389" s="22">
        <f t="shared" si="6"/>
        <v>274.66000000000003</v>
      </c>
      <c r="AG389" s="22">
        <v>0</v>
      </c>
      <c r="AH389" s="22">
        <v>274.66000000000003</v>
      </c>
      <c r="AI389" t="s">
        <v>562</v>
      </c>
      <c r="AJ389" t="s">
        <v>1306</v>
      </c>
    </row>
    <row r="390" spans="1:36" ht="58" outlineLevel="2" x14ac:dyDescent="0.35">
      <c r="A390" s="19" t="s">
        <v>551</v>
      </c>
      <c r="B390" s="19" t="s">
        <v>996</v>
      </c>
      <c r="C390" s="19" t="s">
        <v>997</v>
      </c>
      <c r="D390" s="19">
        <v>2017</v>
      </c>
      <c r="E390" s="19" t="s">
        <v>1776</v>
      </c>
      <c r="F390" s="19">
        <v>80090677</v>
      </c>
      <c r="G390" s="19" t="s">
        <v>1861</v>
      </c>
      <c r="H390" s="19" t="s">
        <v>1862</v>
      </c>
      <c r="I390" s="19" t="s">
        <v>31</v>
      </c>
      <c r="J390" s="20">
        <v>1</v>
      </c>
      <c r="K390" s="21">
        <v>43214</v>
      </c>
      <c r="L390" s="21">
        <v>43214</v>
      </c>
      <c r="M390" s="21">
        <v>43243</v>
      </c>
      <c r="N390" s="24" t="s">
        <v>2448</v>
      </c>
      <c r="O390" s="19" t="s">
        <v>557</v>
      </c>
      <c r="P390" s="19" t="s">
        <v>568</v>
      </c>
      <c r="Q390" s="19" t="s">
        <v>782</v>
      </c>
      <c r="R390" s="19" t="s">
        <v>578</v>
      </c>
      <c r="S390" s="19" t="s">
        <v>1863</v>
      </c>
      <c r="T390" t="s">
        <v>51</v>
      </c>
      <c r="U390" s="22">
        <v>0</v>
      </c>
      <c r="V390" s="22">
        <v>0</v>
      </c>
      <c r="W390" s="22">
        <v>696.09</v>
      </c>
      <c r="X390" s="22">
        <v>0</v>
      </c>
      <c r="Y390" s="22">
        <v>41.98</v>
      </c>
      <c r="Z390" s="22">
        <v>0</v>
      </c>
      <c r="AA390" s="22">
        <v>0</v>
      </c>
      <c r="AB390" s="22">
        <v>0</v>
      </c>
      <c r="AC390" s="22">
        <v>0</v>
      </c>
      <c r="AD390" s="22">
        <v>0</v>
      </c>
      <c r="AE390" s="22">
        <v>738.07</v>
      </c>
      <c r="AF390" s="22">
        <f t="shared" si="6"/>
        <v>738.07</v>
      </c>
      <c r="AG390" s="22">
        <v>0</v>
      </c>
      <c r="AH390" s="22">
        <v>738.07</v>
      </c>
      <c r="AI390" t="s">
        <v>562</v>
      </c>
      <c r="AJ390" t="s">
        <v>1306</v>
      </c>
    </row>
    <row r="391" spans="1:36" ht="43.5" outlineLevel="2" x14ac:dyDescent="0.35">
      <c r="A391" s="19" t="s">
        <v>551</v>
      </c>
      <c r="B391" s="19" t="s">
        <v>605</v>
      </c>
      <c r="C391" s="19" t="s">
        <v>606</v>
      </c>
      <c r="D391" s="19">
        <v>2017</v>
      </c>
      <c r="E391" s="19" t="s">
        <v>1776</v>
      </c>
      <c r="F391" s="19">
        <v>80090781</v>
      </c>
      <c r="G391" s="19" t="s">
        <v>1864</v>
      </c>
      <c r="H391" s="19" t="s">
        <v>1865</v>
      </c>
      <c r="I391" s="19" t="s">
        <v>31</v>
      </c>
      <c r="J391" s="20">
        <v>1</v>
      </c>
      <c r="K391" s="21">
        <v>43207</v>
      </c>
      <c r="L391" s="21">
        <v>43210</v>
      </c>
      <c r="M391" s="21">
        <v>43350</v>
      </c>
      <c r="N391" s="24" t="s">
        <v>2448</v>
      </c>
      <c r="O391" s="19" t="s">
        <v>557</v>
      </c>
      <c r="P391" s="19" t="s">
        <v>558</v>
      </c>
      <c r="Q391" s="19" t="s">
        <v>590</v>
      </c>
      <c r="R391" s="19" t="s">
        <v>591</v>
      </c>
      <c r="S391" s="19" t="s">
        <v>1866</v>
      </c>
      <c r="T391" t="s">
        <v>69</v>
      </c>
      <c r="U391" s="22">
        <v>0</v>
      </c>
      <c r="V391" s="22">
        <v>0</v>
      </c>
      <c r="W391" s="22">
        <v>4618.26</v>
      </c>
      <c r="X391" s="22">
        <v>0</v>
      </c>
      <c r="Y391" s="22">
        <v>1532.07</v>
      </c>
      <c r="Z391" s="22">
        <v>0</v>
      </c>
      <c r="AA391" s="22">
        <v>0</v>
      </c>
      <c r="AB391" s="22">
        <v>-53.96</v>
      </c>
      <c r="AC391" s="22">
        <v>0</v>
      </c>
      <c r="AD391" s="22">
        <v>0</v>
      </c>
      <c r="AE391" s="22">
        <v>6150.33</v>
      </c>
      <c r="AF391" s="22">
        <f t="shared" si="6"/>
        <v>6096.37</v>
      </c>
      <c r="AG391" s="22">
        <v>0</v>
      </c>
      <c r="AH391" s="22">
        <v>6096.37</v>
      </c>
      <c r="AI391" t="s">
        <v>562</v>
      </c>
      <c r="AJ391" t="s">
        <v>1306</v>
      </c>
    </row>
    <row r="392" spans="1:36" ht="43.5" outlineLevel="2" x14ac:dyDescent="0.35">
      <c r="A392" s="19" t="s">
        <v>551</v>
      </c>
      <c r="B392" s="19" t="s">
        <v>1867</v>
      </c>
      <c r="C392" s="19" t="s">
        <v>749</v>
      </c>
      <c r="D392" s="19">
        <v>2017</v>
      </c>
      <c r="E392" s="19" t="s">
        <v>1776</v>
      </c>
      <c r="F392" s="19">
        <v>80090678</v>
      </c>
      <c r="G392" s="19" t="s">
        <v>1868</v>
      </c>
      <c r="H392" s="19" t="s">
        <v>1869</v>
      </c>
      <c r="I392" s="19" t="s">
        <v>31</v>
      </c>
      <c r="J392" s="20">
        <v>1</v>
      </c>
      <c r="K392" s="21">
        <v>43206</v>
      </c>
      <c r="L392" s="21">
        <v>43209</v>
      </c>
      <c r="M392" s="21">
        <v>43279</v>
      </c>
      <c r="N392" s="24" t="s">
        <v>2448</v>
      </c>
      <c r="O392" s="19" t="s">
        <v>557</v>
      </c>
      <c r="P392" s="19" t="s">
        <v>568</v>
      </c>
      <c r="Q392" s="19" t="s">
        <v>655</v>
      </c>
      <c r="R392" s="19" t="s">
        <v>640</v>
      </c>
      <c r="S392" s="19" t="s">
        <v>1870</v>
      </c>
      <c r="T392" t="s">
        <v>121</v>
      </c>
      <c r="U392" s="22">
        <v>0</v>
      </c>
      <c r="V392" s="22">
        <v>0</v>
      </c>
      <c r="W392" s="22">
        <v>198.99</v>
      </c>
      <c r="X392" s="22">
        <v>0</v>
      </c>
      <c r="Y392" s="22">
        <v>19</v>
      </c>
      <c r="Z392" s="22">
        <v>0</v>
      </c>
      <c r="AA392" s="22">
        <v>0</v>
      </c>
      <c r="AB392" s="22">
        <v>0</v>
      </c>
      <c r="AC392" s="22">
        <v>0</v>
      </c>
      <c r="AD392" s="22">
        <v>0</v>
      </c>
      <c r="AE392" s="22">
        <v>217.99</v>
      </c>
      <c r="AF392" s="22">
        <f t="shared" si="6"/>
        <v>217.99</v>
      </c>
      <c r="AG392" s="22">
        <v>0</v>
      </c>
      <c r="AH392" s="22">
        <v>217.99</v>
      </c>
      <c r="AI392" t="s">
        <v>562</v>
      </c>
      <c r="AJ392" t="s">
        <v>1306</v>
      </c>
    </row>
    <row r="393" spans="1:36" ht="43.5" outlineLevel="2" x14ac:dyDescent="0.35">
      <c r="A393" s="19" t="s">
        <v>551</v>
      </c>
      <c r="B393" s="19" t="s">
        <v>1623</v>
      </c>
      <c r="C393" s="19" t="s">
        <v>765</v>
      </c>
      <c r="D393" s="19">
        <v>2017</v>
      </c>
      <c r="E393" s="19" t="s">
        <v>1776</v>
      </c>
      <c r="F393" s="19">
        <v>80090689</v>
      </c>
      <c r="G393" s="19" t="s">
        <v>1871</v>
      </c>
      <c r="H393" s="19" t="s">
        <v>1872</v>
      </c>
      <c r="I393" s="19" t="s">
        <v>31</v>
      </c>
      <c r="J393" s="20">
        <v>1</v>
      </c>
      <c r="K393" s="21">
        <v>43202</v>
      </c>
      <c r="L393" s="21">
        <v>43209</v>
      </c>
      <c r="M393" s="21">
        <v>43228</v>
      </c>
      <c r="N393" s="24" t="s">
        <v>2448</v>
      </c>
      <c r="O393" s="19" t="s">
        <v>557</v>
      </c>
      <c r="P393" s="19" t="s">
        <v>609</v>
      </c>
      <c r="Q393" s="19" t="s">
        <v>577</v>
      </c>
      <c r="R393" s="19" t="s">
        <v>616</v>
      </c>
      <c r="S393" s="19" t="s">
        <v>1873</v>
      </c>
      <c r="T393" t="s">
        <v>98</v>
      </c>
      <c r="U393" s="22">
        <v>0</v>
      </c>
      <c r="V393" s="22">
        <v>0</v>
      </c>
      <c r="W393" s="22">
        <v>375.21</v>
      </c>
      <c r="X393" s="22">
        <v>0</v>
      </c>
      <c r="Y393" s="22">
        <v>46.08</v>
      </c>
      <c r="Z393" s="22">
        <v>0</v>
      </c>
      <c r="AA393" s="22">
        <v>0</v>
      </c>
      <c r="AB393" s="22">
        <v>0</v>
      </c>
      <c r="AC393" s="22">
        <v>0</v>
      </c>
      <c r="AD393" s="22">
        <v>0</v>
      </c>
      <c r="AE393" s="22">
        <v>421.29</v>
      </c>
      <c r="AF393" s="22">
        <f t="shared" si="6"/>
        <v>421.29</v>
      </c>
      <c r="AG393" s="22">
        <v>0</v>
      </c>
      <c r="AH393" s="22">
        <v>421.29</v>
      </c>
      <c r="AI393" t="s">
        <v>562</v>
      </c>
    </row>
    <row r="394" spans="1:36" ht="43.5" outlineLevel="2" x14ac:dyDescent="0.35">
      <c r="A394" s="19" t="s">
        <v>551</v>
      </c>
      <c r="B394" s="19" t="s">
        <v>1258</v>
      </c>
      <c r="C394" s="19" t="s">
        <v>1259</v>
      </c>
      <c r="D394" s="19">
        <v>2017</v>
      </c>
      <c r="E394" s="19" t="s">
        <v>1776</v>
      </c>
      <c r="F394" s="19">
        <v>80090778</v>
      </c>
      <c r="G394" s="19" t="s">
        <v>1874</v>
      </c>
      <c r="H394" s="19" t="s">
        <v>1875</v>
      </c>
      <c r="I394" s="19" t="s">
        <v>31</v>
      </c>
      <c r="J394" s="20">
        <v>1</v>
      </c>
      <c r="K394" s="21">
        <v>43202</v>
      </c>
      <c r="L394" s="21">
        <v>43210</v>
      </c>
      <c r="M394" s="21">
        <v>43258</v>
      </c>
      <c r="N394" s="24" t="s">
        <v>2448</v>
      </c>
      <c r="O394" s="19" t="s">
        <v>557</v>
      </c>
      <c r="Q394" s="19" t="s">
        <v>661</v>
      </c>
      <c r="R394" s="19" t="s">
        <v>570</v>
      </c>
      <c r="S394" s="19" t="s">
        <v>1876</v>
      </c>
      <c r="T394" t="s">
        <v>69</v>
      </c>
      <c r="U394" s="22">
        <v>0</v>
      </c>
      <c r="V394" s="22">
        <v>0</v>
      </c>
      <c r="W394" s="22">
        <v>0</v>
      </c>
      <c r="X394" s="22">
        <v>0</v>
      </c>
      <c r="Y394" s="22">
        <v>0</v>
      </c>
      <c r="Z394" s="22">
        <v>0</v>
      </c>
      <c r="AA394" s="22">
        <v>0</v>
      </c>
      <c r="AB394" s="22">
        <v>0</v>
      </c>
      <c r="AC394" s="22">
        <v>0</v>
      </c>
      <c r="AD394" s="22">
        <v>0</v>
      </c>
      <c r="AE394" s="22">
        <v>0</v>
      </c>
      <c r="AF394" s="22">
        <f t="shared" si="6"/>
        <v>0</v>
      </c>
      <c r="AG394" s="22">
        <v>0</v>
      </c>
      <c r="AH394" s="22">
        <v>0</v>
      </c>
      <c r="AI394" t="s">
        <v>562</v>
      </c>
      <c r="AJ394" t="s">
        <v>1306</v>
      </c>
    </row>
    <row r="395" spans="1:36" ht="43.5" outlineLevel="2" x14ac:dyDescent="0.35">
      <c r="A395" s="19" t="s">
        <v>551</v>
      </c>
      <c r="B395" s="19" t="s">
        <v>945</v>
      </c>
      <c r="C395" s="19" t="s">
        <v>946</v>
      </c>
      <c r="D395" s="19">
        <v>2017</v>
      </c>
      <c r="E395" s="19" t="s">
        <v>1776</v>
      </c>
      <c r="F395" s="19">
        <v>80090695</v>
      </c>
      <c r="G395" s="19" t="s">
        <v>1877</v>
      </c>
      <c r="H395" s="19" t="s">
        <v>1878</v>
      </c>
      <c r="I395" s="19" t="s">
        <v>31</v>
      </c>
      <c r="J395" s="20">
        <v>1</v>
      </c>
      <c r="K395" s="21">
        <v>43192</v>
      </c>
      <c r="L395" s="21">
        <v>43194</v>
      </c>
      <c r="M395" s="21">
        <v>43997</v>
      </c>
      <c r="N395" s="24" t="s">
        <v>2448</v>
      </c>
      <c r="O395" s="19" t="s">
        <v>557</v>
      </c>
      <c r="P395" s="19" t="s">
        <v>665</v>
      </c>
      <c r="Q395" s="19" t="s">
        <v>1803</v>
      </c>
      <c r="R395" s="19" t="s">
        <v>1436</v>
      </c>
      <c r="S395" s="19" t="s">
        <v>1879</v>
      </c>
      <c r="T395" t="s">
        <v>51</v>
      </c>
      <c r="U395" s="22">
        <v>23345</v>
      </c>
      <c r="V395" s="22">
        <v>0</v>
      </c>
      <c r="W395" s="22">
        <v>4156.8</v>
      </c>
      <c r="X395" s="22">
        <v>0</v>
      </c>
      <c r="Y395" s="22">
        <v>3938.78</v>
      </c>
      <c r="Z395" s="22">
        <v>0</v>
      </c>
      <c r="AA395" s="22">
        <v>0</v>
      </c>
      <c r="AB395" s="22">
        <v>0</v>
      </c>
      <c r="AC395" s="22">
        <v>0</v>
      </c>
      <c r="AD395" s="22">
        <v>0</v>
      </c>
      <c r="AE395" s="22">
        <v>31440.58</v>
      </c>
      <c r="AF395" s="22">
        <f t="shared" si="6"/>
        <v>31440.58</v>
      </c>
      <c r="AG395" s="22">
        <v>0</v>
      </c>
      <c r="AH395" s="22">
        <v>31440.58</v>
      </c>
      <c r="AI395" t="s">
        <v>562</v>
      </c>
      <c r="AJ395" t="s">
        <v>1306</v>
      </c>
    </row>
    <row r="396" spans="1:36" ht="58" outlineLevel="2" x14ac:dyDescent="0.35">
      <c r="A396" s="19" t="s">
        <v>551</v>
      </c>
      <c r="B396" s="19" t="s">
        <v>1384</v>
      </c>
      <c r="C396" s="19" t="s">
        <v>1385</v>
      </c>
      <c r="D396" s="19">
        <v>2017</v>
      </c>
      <c r="E396" s="19" t="s">
        <v>1776</v>
      </c>
      <c r="F396" s="19">
        <v>80090692</v>
      </c>
      <c r="G396" s="19" t="s">
        <v>1880</v>
      </c>
      <c r="H396" s="19" t="s">
        <v>1881</v>
      </c>
      <c r="I396" s="19" t="s">
        <v>31</v>
      </c>
      <c r="J396" s="20">
        <v>1</v>
      </c>
      <c r="K396" s="21">
        <v>43182</v>
      </c>
      <c r="L396" s="21">
        <v>43185</v>
      </c>
      <c r="M396" s="21">
        <v>43245</v>
      </c>
      <c r="N396" s="24" t="s">
        <v>2448</v>
      </c>
      <c r="O396" s="19" t="s">
        <v>557</v>
      </c>
      <c r="P396" s="19" t="s">
        <v>568</v>
      </c>
      <c r="Q396" s="19" t="s">
        <v>577</v>
      </c>
      <c r="R396" s="19" t="s">
        <v>578</v>
      </c>
      <c r="S396" s="19" t="s">
        <v>1882</v>
      </c>
      <c r="T396" t="s">
        <v>1389</v>
      </c>
      <c r="U396" s="22">
        <v>0</v>
      </c>
      <c r="V396" s="22">
        <v>0</v>
      </c>
      <c r="W396" s="22">
        <v>85.76</v>
      </c>
      <c r="X396" s="22">
        <v>0</v>
      </c>
      <c r="Y396" s="22">
        <v>15.73</v>
      </c>
      <c r="Z396" s="22">
        <v>0</v>
      </c>
      <c r="AA396" s="22">
        <v>0</v>
      </c>
      <c r="AB396" s="22">
        <v>0</v>
      </c>
      <c r="AC396" s="22">
        <v>0</v>
      </c>
      <c r="AD396" s="22">
        <v>0</v>
      </c>
      <c r="AE396" s="22">
        <v>101.49</v>
      </c>
      <c r="AF396" s="22">
        <f t="shared" si="6"/>
        <v>101.49</v>
      </c>
      <c r="AG396" s="22">
        <v>0</v>
      </c>
      <c r="AH396" s="22">
        <v>101.49</v>
      </c>
      <c r="AI396" t="s">
        <v>562</v>
      </c>
      <c r="AJ396" t="s">
        <v>1306</v>
      </c>
    </row>
    <row r="397" spans="1:36" ht="43.5" outlineLevel="2" x14ac:dyDescent="0.35">
      <c r="A397" s="19" t="s">
        <v>551</v>
      </c>
      <c r="B397" s="19" t="s">
        <v>658</v>
      </c>
      <c r="C397" s="19" t="s">
        <v>643</v>
      </c>
      <c r="D397" s="19">
        <v>2017</v>
      </c>
      <c r="E397" s="19" t="s">
        <v>1776</v>
      </c>
      <c r="F397" s="19">
        <v>80088786</v>
      </c>
      <c r="G397" s="19" t="s">
        <v>1883</v>
      </c>
      <c r="H397" s="19" t="s">
        <v>1884</v>
      </c>
      <c r="I397" s="19" t="s">
        <v>31</v>
      </c>
      <c r="J397" s="20">
        <v>1</v>
      </c>
      <c r="K397" s="21">
        <v>43180</v>
      </c>
      <c r="L397" s="21">
        <v>43348</v>
      </c>
      <c r="M397" s="21">
        <v>44818</v>
      </c>
      <c r="N397" s="24" t="s">
        <v>2448</v>
      </c>
      <c r="O397" s="19" t="s">
        <v>557</v>
      </c>
      <c r="Q397" s="19" t="s">
        <v>661</v>
      </c>
      <c r="R397" s="19" t="s">
        <v>560</v>
      </c>
      <c r="S397" s="19" t="s">
        <v>1885</v>
      </c>
      <c r="T397" t="s">
        <v>62</v>
      </c>
      <c r="U397" s="22">
        <v>0</v>
      </c>
      <c r="V397" s="22">
        <v>0</v>
      </c>
      <c r="W397" s="22">
        <v>18424.07</v>
      </c>
      <c r="X397" s="22">
        <v>0</v>
      </c>
      <c r="Y397" s="22">
        <v>4632.1099999999997</v>
      </c>
      <c r="Z397" s="22">
        <v>0</v>
      </c>
      <c r="AA397" s="22">
        <v>0</v>
      </c>
      <c r="AB397" s="22">
        <v>-123.25</v>
      </c>
      <c r="AC397" s="22">
        <v>0</v>
      </c>
      <c r="AD397" s="22">
        <v>0</v>
      </c>
      <c r="AE397" s="22">
        <v>23056.18</v>
      </c>
      <c r="AF397" s="22">
        <f t="shared" si="6"/>
        <v>22932.93</v>
      </c>
      <c r="AG397" s="22">
        <v>0</v>
      </c>
      <c r="AH397" s="22">
        <v>22932.93</v>
      </c>
      <c r="AI397" t="s">
        <v>562</v>
      </c>
      <c r="AJ397" t="s">
        <v>1306</v>
      </c>
    </row>
    <row r="398" spans="1:36" ht="58" outlineLevel="2" x14ac:dyDescent="0.35">
      <c r="A398" s="19" t="s">
        <v>551</v>
      </c>
      <c r="B398" s="19" t="s">
        <v>572</v>
      </c>
      <c r="C398" s="19" t="s">
        <v>573</v>
      </c>
      <c r="D398" s="19">
        <v>2017</v>
      </c>
      <c r="E398" s="19" t="s">
        <v>1776</v>
      </c>
      <c r="F398" s="19">
        <v>80090739</v>
      </c>
      <c r="G398" s="19" t="s">
        <v>1886</v>
      </c>
      <c r="H398" s="19" t="s">
        <v>1887</v>
      </c>
      <c r="I398" s="19" t="s">
        <v>31</v>
      </c>
      <c r="J398" s="20">
        <v>1</v>
      </c>
      <c r="K398" s="21">
        <v>43179</v>
      </c>
      <c r="L398" s="21">
        <v>43180</v>
      </c>
      <c r="M398" s="21">
        <v>43588</v>
      </c>
      <c r="N398" s="24" t="s">
        <v>2448</v>
      </c>
      <c r="O398" s="19" t="s">
        <v>557</v>
      </c>
      <c r="P398" s="19" t="s">
        <v>609</v>
      </c>
      <c r="Q398" s="19" t="s">
        <v>597</v>
      </c>
      <c r="R398" s="19" t="s">
        <v>591</v>
      </c>
      <c r="S398" s="19" t="s">
        <v>1888</v>
      </c>
      <c r="T398" t="s">
        <v>139</v>
      </c>
      <c r="U398" s="22">
        <v>12225</v>
      </c>
      <c r="V398" s="22">
        <v>0</v>
      </c>
      <c r="W398" s="22">
        <v>14800.62</v>
      </c>
      <c r="X398" s="22">
        <v>0</v>
      </c>
      <c r="Y398" s="22">
        <v>2073.09</v>
      </c>
      <c r="Z398" s="22">
        <v>0</v>
      </c>
      <c r="AA398" s="22">
        <v>0</v>
      </c>
      <c r="AB398" s="22">
        <v>-58.44</v>
      </c>
      <c r="AC398" s="22">
        <v>0</v>
      </c>
      <c r="AD398" s="22">
        <v>0</v>
      </c>
      <c r="AE398" s="22">
        <v>29098.71</v>
      </c>
      <c r="AF398" s="22">
        <f t="shared" si="6"/>
        <v>29040.27</v>
      </c>
      <c r="AG398" s="22">
        <v>0</v>
      </c>
      <c r="AH398" s="22">
        <v>29040.27</v>
      </c>
      <c r="AI398" t="s">
        <v>562</v>
      </c>
      <c r="AJ398" t="s">
        <v>1306</v>
      </c>
    </row>
    <row r="399" spans="1:36" ht="43.5" outlineLevel="2" x14ac:dyDescent="0.35">
      <c r="A399" s="19" t="s">
        <v>551</v>
      </c>
      <c r="B399" s="19" t="s">
        <v>636</v>
      </c>
      <c r="C399" s="19" t="s">
        <v>594</v>
      </c>
      <c r="D399" s="19">
        <v>2017</v>
      </c>
      <c r="E399" s="19" t="s">
        <v>1776</v>
      </c>
      <c r="F399" s="19">
        <v>80090835</v>
      </c>
      <c r="G399" s="19" t="s">
        <v>1889</v>
      </c>
      <c r="H399" s="19" t="s">
        <v>1890</v>
      </c>
      <c r="I399" s="19" t="s">
        <v>31</v>
      </c>
      <c r="J399" s="20">
        <v>1</v>
      </c>
      <c r="K399" s="21">
        <v>43179</v>
      </c>
      <c r="L399" s="21">
        <v>43182</v>
      </c>
      <c r="M399" s="21">
        <v>43231</v>
      </c>
      <c r="N399" s="24" t="s">
        <v>2448</v>
      </c>
      <c r="O399" s="19" t="s">
        <v>557</v>
      </c>
      <c r="P399" s="19" t="s">
        <v>576</v>
      </c>
      <c r="Q399" s="19" t="s">
        <v>860</v>
      </c>
      <c r="R399" s="19" t="s">
        <v>640</v>
      </c>
      <c r="S399" s="19" t="s">
        <v>1891</v>
      </c>
      <c r="T399" t="s">
        <v>33</v>
      </c>
      <c r="U399" s="22">
        <v>0</v>
      </c>
      <c r="V399" s="22">
        <v>0</v>
      </c>
      <c r="W399" s="22">
        <v>195.59</v>
      </c>
      <c r="X399" s="22">
        <v>0</v>
      </c>
      <c r="Y399" s="22">
        <v>9.5</v>
      </c>
      <c r="Z399" s="22">
        <v>0</v>
      </c>
      <c r="AA399" s="22">
        <v>0</v>
      </c>
      <c r="AB399" s="22">
        <v>0</v>
      </c>
      <c r="AC399" s="22">
        <v>0</v>
      </c>
      <c r="AD399" s="22">
        <v>0</v>
      </c>
      <c r="AE399" s="22">
        <v>205.09</v>
      </c>
      <c r="AF399" s="22">
        <f t="shared" si="6"/>
        <v>205.09</v>
      </c>
      <c r="AG399" s="22">
        <v>0</v>
      </c>
      <c r="AH399" s="22">
        <v>205.09</v>
      </c>
      <c r="AI399" t="s">
        <v>562</v>
      </c>
      <c r="AJ399" t="s">
        <v>1306</v>
      </c>
    </row>
    <row r="400" spans="1:36" ht="130.5" outlineLevel="2" x14ac:dyDescent="0.35">
      <c r="A400" s="19" t="s">
        <v>551</v>
      </c>
      <c r="B400" s="19" t="s">
        <v>986</v>
      </c>
      <c r="C400" s="19" t="s">
        <v>553</v>
      </c>
      <c r="D400" s="19">
        <v>2017</v>
      </c>
      <c r="E400" s="19" t="s">
        <v>1776</v>
      </c>
      <c r="F400" s="19">
        <v>80090813</v>
      </c>
      <c r="G400" s="19" t="s">
        <v>1892</v>
      </c>
      <c r="H400" s="19" t="s">
        <v>1893</v>
      </c>
      <c r="I400" s="19" t="s">
        <v>31</v>
      </c>
      <c r="J400" s="20">
        <v>1</v>
      </c>
      <c r="K400" s="21">
        <v>43174</v>
      </c>
      <c r="L400" s="21">
        <v>43180</v>
      </c>
      <c r="M400" s="21">
        <v>43258</v>
      </c>
      <c r="N400" s="24" t="s">
        <v>2448</v>
      </c>
      <c r="O400" s="19" t="s">
        <v>557</v>
      </c>
      <c r="P400" s="19" t="s">
        <v>568</v>
      </c>
      <c r="Q400" s="19" t="s">
        <v>569</v>
      </c>
      <c r="R400" s="19" t="s">
        <v>570</v>
      </c>
      <c r="S400" s="19" t="s">
        <v>1894</v>
      </c>
      <c r="T400" t="s">
        <v>169</v>
      </c>
      <c r="U400" s="22">
        <v>1115.3800000000001</v>
      </c>
      <c r="V400" s="22">
        <v>0</v>
      </c>
      <c r="W400" s="22">
        <v>1816.76</v>
      </c>
      <c r="X400" s="22">
        <v>0</v>
      </c>
      <c r="Y400" s="22">
        <v>171.74</v>
      </c>
      <c r="Z400" s="22">
        <v>0</v>
      </c>
      <c r="AA400" s="22">
        <v>0</v>
      </c>
      <c r="AB400" s="22">
        <v>0</v>
      </c>
      <c r="AC400" s="22">
        <v>0</v>
      </c>
      <c r="AD400" s="22">
        <v>0</v>
      </c>
      <c r="AE400" s="22">
        <v>3103.88</v>
      </c>
      <c r="AF400" s="22">
        <f t="shared" si="6"/>
        <v>3103.88</v>
      </c>
      <c r="AG400" s="22">
        <v>0</v>
      </c>
      <c r="AH400" s="22">
        <v>3103.88</v>
      </c>
      <c r="AI400" t="s">
        <v>562</v>
      </c>
      <c r="AJ400" t="s">
        <v>1306</v>
      </c>
    </row>
    <row r="401" spans="1:36" ht="116" outlineLevel="2" x14ac:dyDescent="0.35">
      <c r="A401" s="19" t="s">
        <v>551</v>
      </c>
      <c r="B401" s="19" t="s">
        <v>636</v>
      </c>
      <c r="C401" s="19" t="s">
        <v>594</v>
      </c>
      <c r="D401" s="19">
        <v>2017</v>
      </c>
      <c r="E401" s="19" t="s">
        <v>1776</v>
      </c>
      <c r="F401" s="19">
        <v>80090660</v>
      </c>
      <c r="G401" s="19" t="s">
        <v>1895</v>
      </c>
      <c r="H401" s="19" t="s">
        <v>1896</v>
      </c>
      <c r="I401" s="19" t="s">
        <v>31</v>
      </c>
      <c r="J401" s="20">
        <v>1</v>
      </c>
      <c r="K401" s="21">
        <v>43173</v>
      </c>
      <c r="L401" s="21">
        <v>43174</v>
      </c>
      <c r="M401" s="21">
        <v>43627</v>
      </c>
      <c r="N401" s="24" t="s">
        <v>2448</v>
      </c>
      <c r="O401" s="19" t="s">
        <v>557</v>
      </c>
      <c r="P401" s="19" t="s">
        <v>665</v>
      </c>
      <c r="Q401" s="19" t="s">
        <v>655</v>
      </c>
      <c r="R401" s="19" t="s">
        <v>616</v>
      </c>
      <c r="S401" s="19" t="s">
        <v>1897</v>
      </c>
      <c r="T401" t="s">
        <v>33</v>
      </c>
      <c r="U401" s="22">
        <v>3909.64</v>
      </c>
      <c r="V401" s="22">
        <v>0</v>
      </c>
      <c r="W401" s="22">
        <v>2682.18</v>
      </c>
      <c r="X401" s="22">
        <v>0</v>
      </c>
      <c r="Y401" s="22">
        <v>465.03</v>
      </c>
      <c r="Z401" s="22">
        <v>0</v>
      </c>
      <c r="AA401" s="22">
        <v>0</v>
      </c>
      <c r="AB401" s="22">
        <v>0</v>
      </c>
      <c r="AC401" s="22">
        <v>0</v>
      </c>
      <c r="AD401" s="22">
        <v>0</v>
      </c>
      <c r="AE401" s="22">
        <v>7056.85</v>
      </c>
      <c r="AF401" s="22">
        <f t="shared" si="6"/>
        <v>7056.85</v>
      </c>
      <c r="AG401" s="22">
        <v>0</v>
      </c>
      <c r="AH401" s="22">
        <v>7056.85</v>
      </c>
      <c r="AI401" t="s">
        <v>562</v>
      </c>
      <c r="AJ401" t="s">
        <v>1306</v>
      </c>
    </row>
    <row r="402" spans="1:36" ht="87" outlineLevel="2" x14ac:dyDescent="0.35">
      <c r="A402" s="19" t="s">
        <v>551</v>
      </c>
      <c r="B402" s="19" t="s">
        <v>636</v>
      </c>
      <c r="C402" s="19" t="s">
        <v>594</v>
      </c>
      <c r="D402" s="19">
        <v>2017</v>
      </c>
      <c r="E402" s="19" t="s">
        <v>1776</v>
      </c>
      <c r="F402" s="19">
        <v>80090719</v>
      </c>
      <c r="G402" s="19" t="s">
        <v>1898</v>
      </c>
      <c r="H402" s="19" t="s">
        <v>1899</v>
      </c>
      <c r="I402" s="19" t="s">
        <v>31</v>
      </c>
      <c r="J402" s="20">
        <v>1</v>
      </c>
      <c r="K402" s="21">
        <v>43173</v>
      </c>
      <c r="L402" s="21">
        <v>43173</v>
      </c>
      <c r="M402" s="21">
        <v>43306</v>
      </c>
      <c r="N402" s="24" t="s">
        <v>2448</v>
      </c>
      <c r="O402" s="19" t="s">
        <v>557</v>
      </c>
      <c r="P402" s="19" t="s">
        <v>609</v>
      </c>
      <c r="Q402" s="19" t="s">
        <v>597</v>
      </c>
      <c r="R402" s="19" t="s">
        <v>570</v>
      </c>
      <c r="S402" s="19" t="s">
        <v>1900</v>
      </c>
      <c r="T402" t="s">
        <v>33</v>
      </c>
      <c r="U402" s="22">
        <v>548.26</v>
      </c>
      <c r="V402" s="22">
        <v>0</v>
      </c>
      <c r="W402" s="22">
        <v>803.24</v>
      </c>
      <c r="X402" s="22">
        <v>0</v>
      </c>
      <c r="Y402" s="22">
        <v>92.78</v>
      </c>
      <c r="Z402" s="22">
        <v>0</v>
      </c>
      <c r="AA402" s="22">
        <v>0</v>
      </c>
      <c r="AB402" s="22">
        <v>0</v>
      </c>
      <c r="AC402" s="22">
        <v>0</v>
      </c>
      <c r="AD402" s="22">
        <v>0</v>
      </c>
      <c r="AE402" s="22">
        <v>1444.28</v>
      </c>
      <c r="AF402" s="22">
        <f t="shared" si="6"/>
        <v>1444.28</v>
      </c>
      <c r="AG402" s="22">
        <v>0</v>
      </c>
      <c r="AH402" s="22">
        <v>1444.28</v>
      </c>
      <c r="AI402" t="s">
        <v>562</v>
      </c>
      <c r="AJ402" t="s">
        <v>1306</v>
      </c>
    </row>
    <row r="403" spans="1:36" ht="58" outlineLevel="2" x14ac:dyDescent="0.35">
      <c r="A403" s="19" t="s">
        <v>551</v>
      </c>
      <c r="B403" s="19" t="s">
        <v>658</v>
      </c>
      <c r="C403" s="19" t="s">
        <v>643</v>
      </c>
      <c r="D403" s="19">
        <v>2017</v>
      </c>
      <c r="E403" s="19" t="s">
        <v>1776</v>
      </c>
      <c r="F403" s="19">
        <v>80090744</v>
      </c>
      <c r="G403" s="19" t="s">
        <v>1901</v>
      </c>
      <c r="H403" s="19" t="s">
        <v>1902</v>
      </c>
      <c r="I403" s="19" t="s">
        <v>31</v>
      </c>
      <c r="J403" s="20">
        <v>1</v>
      </c>
      <c r="K403" s="21">
        <v>43171</v>
      </c>
      <c r="L403" s="21">
        <v>43173</v>
      </c>
      <c r="M403" s="21">
        <v>43286</v>
      </c>
      <c r="N403" s="24" t="s">
        <v>2448</v>
      </c>
      <c r="O403" s="19" t="s">
        <v>557</v>
      </c>
      <c r="P403" s="19" t="s">
        <v>576</v>
      </c>
      <c r="Q403" s="19" t="s">
        <v>683</v>
      </c>
      <c r="R403" s="19" t="s">
        <v>578</v>
      </c>
      <c r="S403" s="19" t="s">
        <v>1903</v>
      </c>
      <c r="T403" t="s">
        <v>62</v>
      </c>
      <c r="U403" s="22">
        <v>0</v>
      </c>
      <c r="V403" s="22">
        <v>0</v>
      </c>
      <c r="W403" s="22">
        <v>554.03</v>
      </c>
      <c r="X403" s="22">
        <v>0</v>
      </c>
      <c r="Y403" s="22">
        <v>152.63999999999999</v>
      </c>
      <c r="Z403" s="22">
        <v>0</v>
      </c>
      <c r="AA403" s="22">
        <v>0</v>
      </c>
      <c r="AB403" s="22">
        <v>-106.47</v>
      </c>
      <c r="AC403" s="22">
        <v>0</v>
      </c>
      <c r="AD403" s="22">
        <v>0</v>
      </c>
      <c r="AE403" s="22">
        <v>706.67</v>
      </c>
      <c r="AF403" s="22">
        <f t="shared" si="6"/>
        <v>600.19999999999993</v>
      </c>
      <c r="AG403" s="22">
        <v>0</v>
      </c>
      <c r="AH403" s="22">
        <v>600.20000000000005</v>
      </c>
      <c r="AI403" t="s">
        <v>562</v>
      </c>
      <c r="AJ403" t="s">
        <v>1306</v>
      </c>
    </row>
    <row r="404" spans="1:36" ht="58" outlineLevel="2" x14ac:dyDescent="0.35">
      <c r="A404" s="19" t="s">
        <v>551</v>
      </c>
      <c r="B404" s="19" t="s">
        <v>1083</v>
      </c>
      <c r="C404" s="19" t="s">
        <v>741</v>
      </c>
      <c r="D404" s="19">
        <v>2017</v>
      </c>
      <c r="E404" s="19" t="s">
        <v>1776</v>
      </c>
      <c r="F404" s="19">
        <v>80090671</v>
      </c>
      <c r="G404" s="19" t="s">
        <v>1904</v>
      </c>
      <c r="H404" s="19" t="s">
        <v>1905</v>
      </c>
      <c r="I404" s="19" t="s">
        <v>31</v>
      </c>
      <c r="J404" s="20">
        <v>1</v>
      </c>
      <c r="K404" s="21">
        <v>43166</v>
      </c>
      <c r="L404" s="21">
        <v>43186</v>
      </c>
      <c r="M404" s="21">
        <v>43318</v>
      </c>
      <c r="N404" s="24" t="s">
        <v>2448</v>
      </c>
      <c r="O404" s="19" t="s">
        <v>557</v>
      </c>
      <c r="P404" s="19" t="s">
        <v>568</v>
      </c>
      <c r="Q404" s="19" t="s">
        <v>569</v>
      </c>
      <c r="R404" s="19" t="s">
        <v>570</v>
      </c>
      <c r="S404" s="19" t="s">
        <v>1906</v>
      </c>
      <c r="T404" t="s">
        <v>45</v>
      </c>
      <c r="U404" s="22">
        <v>0</v>
      </c>
      <c r="V404" s="22">
        <v>0</v>
      </c>
      <c r="W404" s="22">
        <v>3178.31</v>
      </c>
      <c r="X404" s="22">
        <v>0</v>
      </c>
      <c r="Y404" s="22">
        <v>251.31</v>
      </c>
      <c r="Z404" s="22">
        <v>0</v>
      </c>
      <c r="AA404" s="22">
        <v>0</v>
      </c>
      <c r="AB404" s="22">
        <v>0</v>
      </c>
      <c r="AC404" s="22">
        <v>0</v>
      </c>
      <c r="AD404" s="22">
        <v>0</v>
      </c>
      <c r="AE404" s="22">
        <v>3429.62</v>
      </c>
      <c r="AF404" s="22">
        <f t="shared" si="6"/>
        <v>3429.62</v>
      </c>
      <c r="AG404" s="22">
        <v>0</v>
      </c>
      <c r="AH404" s="22">
        <v>3429.62</v>
      </c>
      <c r="AI404" t="s">
        <v>562</v>
      </c>
      <c r="AJ404" t="s">
        <v>1306</v>
      </c>
    </row>
    <row r="405" spans="1:36" ht="101.5" outlineLevel="2" x14ac:dyDescent="0.35">
      <c r="A405" s="19" t="s">
        <v>551</v>
      </c>
      <c r="B405" s="19" t="s">
        <v>636</v>
      </c>
      <c r="C405" s="19" t="s">
        <v>594</v>
      </c>
      <c r="D405" s="19">
        <v>2017</v>
      </c>
      <c r="E405" s="19" t="s">
        <v>1776</v>
      </c>
      <c r="F405" s="19">
        <v>80090669</v>
      </c>
      <c r="G405" s="19" t="s">
        <v>1907</v>
      </c>
      <c r="H405" s="19" t="s">
        <v>1908</v>
      </c>
      <c r="I405" s="19" t="s">
        <v>31</v>
      </c>
      <c r="J405" s="20">
        <v>1</v>
      </c>
      <c r="K405" s="21">
        <v>43165</v>
      </c>
      <c r="L405" s="21">
        <v>43166</v>
      </c>
      <c r="M405" s="21">
        <v>43297</v>
      </c>
      <c r="N405" s="24" t="s">
        <v>2448</v>
      </c>
      <c r="O405" s="19" t="s">
        <v>557</v>
      </c>
      <c r="P405" s="19" t="s">
        <v>609</v>
      </c>
      <c r="Q405" s="19" t="s">
        <v>610</v>
      </c>
      <c r="R405" s="19" t="s">
        <v>591</v>
      </c>
      <c r="S405" s="19" t="s">
        <v>1909</v>
      </c>
      <c r="T405" t="s">
        <v>33</v>
      </c>
      <c r="U405" s="22">
        <v>4669.87</v>
      </c>
      <c r="V405" s="22">
        <v>0</v>
      </c>
      <c r="W405" s="22">
        <v>1864.54</v>
      </c>
      <c r="X405" s="22">
        <v>0</v>
      </c>
      <c r="Y405" s="22">
        <v>296.64999999999998</v>
      </c>
      <c r="Z405" s="22">
        <v>0</v>
      </c>
      <c r="AA405" s="22">
        <v>0</v>
      </c>
      <c r="AB405" s="22">
        <v>-8.91</v>
      </c>
      <c r="AC405" s="22">
        <v>0</v>
      </c>
      <c r="AD405" s="22">
        <v>0</v>
      </c>
      <c r="AE405" s="22">
        <v>6831.06</v>
      </c>
      <c r="AF405" s="22">
        <f t="shared" si="6"/>
        <v>6822.1500000000005</v>
      </c>
      <c r="AG405" s="22">
        <v>0</v>
      </c>
      <c r="AH405" s="22">
        <v>6822.15</v>
      </c>
      <c r="AI405" t="s">
        <v>562</v>
      </c>
      <c r="AJ405" t="s">
        <v>1306</v>
      </c>
    </row>
    <row r="406" spans="1:36" ht="43.5" outlineLevel="2" x14ac:dyDescent="0.35">
      <c r="A406" s="19" t="s">
        <v>551</v>
      </c>
      <c r="B406" s="19" t="s">
        <v>697</v>
      </c>
      <c r="C406" s="19" t="s">
        <v>698</v>
      </c>
      <c r="D406" s="19">
        <v>2017</v>
      </c>
      <c r="E406" s="19" t="s">
        <v>1776</v>
      </c>
      <c r="F406" s="19">
        <v>80090654</v>
      </c>
      <c r="G406" s="19" t="s">
        <v>1910</v>
      </c>
      <c r="H406" s="19" t="s">
        <v>1911</v>
      </c>
      <c r="I406" s="19" t="s">
        <v>31</v>
      </c>
      <c r="J406" s="20">
        <v>1</v>
      </c>
      <c r="K406" s="21">
        <v>43160</v>
      </c>
      <c r="L406" s="21">
        <v>43165</v>
      </c>
      <c r="M406" s="21">
        <v>43230</v>
      </c>
      <c r="N406" s="24" t="s">
        <v>2448</v>
      </c>
      <c r="O406" s="19" t="s">
        <v>557</v>
      </c>
      <c r="P406" s="19" t="s">
        <v>665</v>
      </c>
      <c r="Q406" s="19" t="s">
        <v>597</v>
      </c>
      <c r="R406" s="19" t="s">
        <v>570</v>
      </c>
      <c r="S406" s="19" t="s">
        <v>1912</v>
      </c>
      <c r="T406" t="s">
        <v>69</v>
      </c>
      <c r="U406" s="22">
        <v>0</v>
      </c>
      <c r="V406" s="22">
        <v>0</v>
      </c>
      <c r="W406" s="22">
        <v>1070.54</v>
      </c>
      <c r="X406" s="22">
        <v>0</v>
      </c>
      <c r="Y406" s="22">
        <v>49.8</v>
      </c>
      <c r="Z406" s="22">
        <v>0</v>
      </c>
      <c r="AA406" s="22">
        <v>0</v>
      </c>
      <c r="AB406" s="22">
        <v>0</v>
      </c>
      <c r="AC406" s="22">
        <v>0</v>
      </c>
      <c r="AD406" s="22">
        <v>0</v>
      </c>
      <c r="AE406" s="22">
        <v>1120.3399999999999</v>
      </c>
      <c r="AF406" s="22">
        <f t="shared" si="6"/>
        <v>1120.3399999999999</v>
      </c>
      <c r="AG406" s="22">
        <v>0</v>
      </c>
      <c r="AH406" s="22">
        <v>1120.3399999999999</v>
      </c>
      <c r="AI406" t="s">
        <v>562</v>
      </c>
      <c r="AJ406" t="s">
        <v>1306</v>
      </c>
    </row>
    <row r="407" spans="1:36" ht="58" outlineLevel="2" x14ac:dyDescent="0.35">
      <c r="A407" s="19" t="s">
        <v>551</v>
      </c>
      <c r="B407" s="19" t="s">
        <v>552</v>
      </c>
      <c r="C407" s="19" t="s">
        <v>553</v>
      </c>
      <c r="D407" s="19">
        <v>2017</v>
      </c>
      <c r="E407" s="19" t="s">
        <v>1776</v>
      </c>
      <c r="F407" s="19">
        <v>80090704</v>
      </c>
      <c r="G407" s="19" t="s">
        <v>1913</v>
      </c>
      <c r="H407" s="19" t="s">
        <v>1914</v>
      </c>
      <c r="I407" s="19" t="s">
        <v>31</v>
      </c>
      <c r="J407" s="20">
        <v>1</v>
      </c>
      <c r="K407" s="21">
        <v>43158</v>
      </c>
      <c r="L407" s="21">
        <v>43173</v>
      </c>
      <c r="M407" s="21">
        <v>43318</v>
      </c>
      <c r="N407" s="24" t="s">
        <v>2448</v>
      </c>
      <c r="O407" s="19" t="s">
        <v>557</v>
      </c>
      <c r="P407" s="19" t="s">
        <v>665</v>
      </c>
      <c r="Q407" s="19" t="s">
        <v>1143</v>
      </c>
      <c r="R407" s="19" t="s">
        <v>570</v>
      </c>
      <c r="S407" s="19" t="s">
        <v>1915</v>
      </c>
      <c r="T407" t="s">
        <v>85</v>
      </c>
      <c r="U407" s="22">
        <v>0</v>
      </c>
      <c r="V407" s="22">
        <v>0</v>
      </c>
      <c r="W407" s="22">
        <v>4184.04</v>
      </c>
      <c r="X407" s="22">
        <v>0</v>
      </c>
      <c r="Y407" s="22">
        <v>465.54</v>
      </c>
      <c r="Z407" s="22">
        <v>0</v>
      </c>
      <c r="AA407" s="22">
        <v>0</v>
      </c>
      <c r="AB407" s="22">
        <v>0</v>
      </c>
      <c r="AC407" s="22">
        <v>0</v>
      </c>
      <c r="AD407" s="22">
        <v>0</v>
      </c>
      <c r="AE407" s="22">
        <v>4649.58</v>
      </c>
      <c r="AF407" s="22">
        <f t="shared" si="6"/>
        <v>4649.58</v>
      </c>
      <c r="AG407" s="22">
        <v>0</v>
      </c>
      <c r="AH407" s="22">
        <v>4649.58</v>
      </c>
      <c r="AI407" t="s">
        <v>562</v>
      </c>
      <c r="AJ407" t="s">
        <v>1306</v>
      </c>
    </row>
    <row r="408" spans="1:36" ht="43.5" outlineLevel="2" x14ac:dyDescent="0.35">
      <c r="A408" s="19" t="s">
        <v>551</v>
      </c>
      <c r="B408" s="19" t="s">
        <v>697</v>
      </c>
      <c r="C408" s="19" t="s">
        <v>698</v>
      </c>
      <c r="D408" s="19">
        <v>2017</v>
      </c>
      <c r="E408" s="19" t="s">
        <v>1776</v>
      </c>
      <c r="F408" s="19">
        <v>80090667</v>
      </c>
      <c r="G408" s="19" t="s">
        <v>1916</v>
      </c>
      <c r="H408" s="19" t="s">
        <v>1917</v>
      </c>
      <c r="I408" s="19" t="s">
        <v>31</v>
      </c>
      <c r="J408" s="20">
        <v>1</v>
      </c>
      <c r="K408" s="21">
        <v>43157</v>
      </c>
      <c r="L408" s="21">
        <v>43159</v>
      </c>
      <c r="M408" s="21">
        <v>43600</v>
      </c>
      <c r="N408" s="24" t="s">
        <v>2448</v>
      </c>
      <c r="O408" s="19" t="s">
        <v>557</v>
      </c>
      <c r="P408" s="19" t="s">
        <v>568</v>
      </c>
      <c r="Q408" s="19" t="s">
        <v>704</v>
      </c>
      <c r="R408" s="19" t="s">
        <v>578</v>
      </c>
      <c r="S408" s="19" t="s">
        <v>1918</v>
      </c>
      <c r="T408" t="s">
        <v>69</v>
      </c>
      <c r="U408" s="22">
        <v>0</v>
      </c>
      <c r="V408" s="22">
        <v>0</v>
      </c>
      <c r="W408" s="22">
        <v>528.75</v>
      </c>
      <c r="X408" s="22">
        <v>0</v>
      </c>
      <c r="Y408" s="22">
        <v>87.15</v>
      </c>
      <c r="Z408" s="22">
        <v>0</v>
      </c>
      <c r="AA408" s="22">
        <v>0</v>
      </c>
      <c r="AB408" s="22">
        <v>0</v>
      </c>
      <c r="AC408" s="22">
        <v>0</v>
      </c>
      <c r="AD408" s="22">
        <v>0</v>
      </c>
      <c r="AE408" s="22">
        <v>615.9</v>
      </c>
      <c r="AF408" s="22">
        <f t="shared" si="6"/>
        <v>615.9</v>
      </c>
      <c r="AG408" s="22">
        <v>0</v>
      </c>
      <c r="AH408" s="22">
        <v>615.9</v>
      </c>
      <c r="AI408" t="s">
        <v>562</v>
      </c>
      <c r="AJ408" t="s">
        <v>1306</v>
      </c>
    </row>
    <row r="409" spans="1:36" ht="58" outlineLevel="2" x14ac:dyDescent="0.35">
      <c r="A409" s="19" t="s">
        <v>551</v>
      </c>
      <c r="B409" s="19" t="s">
        <v>996</v>
      </c>
      <c r="C409" s="19" t="s">
        <v>997</v>
      </c>
      <c r="D409" s="19">
        <v>2017</v>
      </c>
      <c r="E409" s="19" t="s">
        <v>1776</v>
      </c>
      <c r="F409" s="19">
        <v>80090679</v>
      </c>
      <c r="G409" s="19" t="s">
        <v>1919</v>
      </c>
      <c r="H409" s="19" t="s">
        <v>1920</v>
      </c>
      <c r="I409" s="19" t="s">
        <v>31</v>
      </c>
      <c r="J409" s="20">
        <v>1</v>
      </c>
      <c r="K409" s="21">
        <v>43154</v>
      </c>
      <c r="L409" s="21">
        <v>43158</v>
      </c>
      <c r="M409" s="21">
        <v>43256</v>
      </c>
      <c r="N409" s="24" t="s">
        <v>2448</v>
      </c>
      <c r="O409" s="19" t="s">
        <v>557</v>
      </c>
      <c r="P409" s="19" t="s">
        <v>568</v>
      </c>
      <c r="Q409" s="19" t="s">
        <v>1143</v>
      </c>
      <c r="R409" s="19" t="s">
        <v>570</v>
      </c>
      <c r="S409" s="19" t="s">
        <v>1921</v>
      </c>
      <c r="T409" t="s">
        <v>51</v>
      </c>
      <c r="U409" s="22">
        <v>494.66</v>
      </c>
      <c r="V409" s="22">
        <v>0</v>
      </c>
      <c r="W409" s="22">
        <v>2767.3</v>
      </c>
      <c r="X409" s="22">
        <v>0</v>
      </c>
      <c r="Y409" s="22">
        <v>379.1</v>
      </c>
      <c r="Z409" s="22">
        <v>0</v>
      </c>
      <c r="AA409" s="22">
        <v>0</v>
      </c>
      <c r="AB409" s="22">
        <v>-21.06</v>
      </c>
      <c r="AC409" s="22">
        <v>0</v>
      </c>
      <c r="AD409" s="22">
        <v>0</v>
      </c>
      <c r="AE409" s="22">
        <v>3641.06</v>
      </c>
      <c r="AF409" s="22">
        <f t="shared" si="6"/>
        <v>3620</v>
      </c>
      <c r="AG409" s="22">
        <v>0</v>
      </c>
      <c r="AH409" s="22">
        <v>3620</v>
      </c>
      <c r="AI409" t="s">
        <v>562</v>
      </c>
      <c r="AJ409" t="s">
        <v>1306</v>
      </c>
    </row>
    <row r="410" spans="1:36" ht="58" outlineLevel="2" x14ac:dyDescent="0.35">
      <c r="A410" s="19" t="s">
        <v>551</v>
      </c>
      <c r="B410" s="19" t="s">
        <v>572</v>
      </c>
      <c r="C410" s="19" t="s">
        <v>573</v>
      </c>
      <c r="D410" s="19">
        <v>2017</v>
      </c>
      <c r="E410" s="19" t="s">
        <v>1776</v>
      </c>
      <c r="F410" s="19">
        <v>80090685</v>
      </c>
      <c r="G410" s="19" t="s">
        <v>1922</v>
      </c>
      <c r="H410" s="19" t="s">
        <v>1923</v>
      </c>
      <c r="I410" s="19" t="s">
        <v>31</v>
      </c>
      <c r="J410" s="20">
        <v>1</v>
      </c>
      <c r="K410" s="21">
        <v>43147</v>
      </c>
      <c r="L410" s="21">
        <v>43151</v>
      </c>
      <c r="M410" s="21">
        <v>43164</v>
      </c>
      <c r="N410" s="24" t="s">
        <v>2448</v>
      </c>
      <c r="O410" s="19" t="s">
        <v>557</v>
      </c>
      <c r="P410" s="19" t="s">
        <v>665</v>
      </c>
      <c r="Q410" s="19" t="s">
        <v>661</v>
      </c>
      <c r="R410" s="19" t="s">
        <v>570</v>
      </c>
      <c r="S410" s="19" t="s">
        <v>1924</v>
      </c>
      <c r="T410" t="s">
        <v>161</v>
      </c>
      <c r="U410" s="22">
        <v>0</v>
      </c>
      <c r="V410" s="22">
        <v>0</v>
      </c>
      <c r="W410" s="22">
        <v>1221.1500000000001</v>
      </c>
      <c r="X410" s="22">
        <v>0</v>
      </c>
      <c r="Y410" s="22">
        <v>92.69</v>
      </c>
      <c r="Z410" s="22">
        <v>0</v>
      </c>
      <c r="AA410" s="22">
        <v>0</v>
      </c>
      <c r="AB410" s="22">
        <v>0</v>
      </c>
      <c r="AC410" s="22">
        <v>0</v>
      </c>
      <c r="AD410" s="22">
        <v>0</v>
      </c>
      <c r="AE410" s="22">
        <v>1313.84</v>
      </c>
      <c r="AF410" s="22">
        <f t="shared" si="6"/>
        <v>1313.84</v>
      </c>
      <c r="AG410" s="22">
        <v>0</v>
      </c>
      <c r="AH410" s="22">
        <v>1313.84</v>
      </c>
      <c r="AI410" t="s">
        <v>562</v>
      </c>
      <c r="AJ410" t="s">
        <v>1306</v>
      </c>
    </row>
    <row r="411" spans="1:36" ht="72.5" outlineLevel="2" x14ac:dyDescent="0.35">
      <c r="A411" s="19" t="s">
        <v>551</v>
      </c>
      <c r="B411" s="19" t="s">
        <v>658</v>
      </c>
      <c r="C411" s="19" t="s">
        <v>643</v>
      </c>
      <c r="D411" s="19">
        <v>2017</v>
      </c>
      <c r="E411" s="19" t="s">
        <v>1776</v>
      </c>
      <c r="F411" s="19">
        <v>80090680</v>
      </c>
      <c r="G411" s="19" t="s">
        <v>1925</v>
      </c>
      <c r="H411" s="19" t="s">
        <v>1926</v>
      </c>
      <c r="I411" s="19" t="s">
        <v>31</v>
      </c>
      <c r="J411" s="20">
        <v>1</v>
      </c>
      <c r="K411" s="21">
        <v>43146</v>
      </c>
      <c r="L411" s="21">
        <v>43147</v>
      </c>
      <c r="M411" s="21">
        <v>43167</v>
      </c>
      <c r="N411" s="24" t="s">
        <v>2448</v>
      </c>
      <c r="O411" s="19" t="s">
        <v>557</v>
      </c>
      <c r="P411" s="19" t="s">
        <v>609</v>
      </c>
      <c r="Q411" s="19" t="s">
        <v>655</v>
      </c>
      <c r="R411" s="19" t="s">
        <v>578</v>
      </c>
      <c r="S411" s="19" t="s">
        <v>1927</v>
      </c>
      <c r="T411" t="s">
        <v>62</v>
      </c>
      <c r="U411" s="22">
        <v>0</v>
      </c>
      <c r="V411" s="22">
        <v>0</v>
      </c>
      <c r="W411" s="22">
        <v>251.34</v>
      </c>
      <c r="X411" s="22">
        <v>0</v>
      </c>
      <c r="Y411" s="22">
        <v>32.200000000000003</v>
      </c>
      <c r="Z411" s="22">
        <v>0</v>
      </c>
      <c r="AA411" s="22">
        <v>0</v>
      </c>
      <c r="AB411" s="22">
        <v>0</v>
      </c>
      <c r="AC411" s="22">
        <v>0</v>
      </c>
      <c r="AD411" s="22">
        <v>0</v>
      </c>
      <c r="AE411" s="22">
        <v>283.54000000000002</v>
      </c>
      <c r="AF411" s="22">
        <f t="shared" si="6"/>
        <v>283.54000000000002</v>
      </c>
      <c r="AG411" s="22">
        <v>0</v>
      </c>
      <c r="AH411" s="22">
        <v>283.54000000000002</v>
      </c>
      <c r="AI411" t="s">
        <v>562</v>
      </c>
      <c r="AJ411" t="s">
        <v>1306</v>
      </c>
    </row>
    <row r="412" spans="1:36" ht="43.5" outlineLevel="2" x14ac:dyDescent="0.35">
      <c r="A412" s="19" t="s">
        <v>551</v>
      </c>
      <c r="B412" s="19" t="s">
        <v>945</v>
      </c>
      <c r="C412" s="19" t="s">
        <v>946</v>
      </c>
      <c r="D412" s="19">
        <v>2017</v>
      </c>
      <c r="E412" s="19" t="s">
        <v>1776</v>
      </c>
      <c r="F412" s="19">
        <v>80090649</v>
      </c>
      <c r="G412" s="19" t="s">
        <v>1928</v>
      </c>
      <c r="H412" s="19" t="s">
        <v>1929</v>
      </c>
      <c r="I412" s="19" t="s">
        <v>31</v>
      </c>
      <c r="J412" s="20">
        <v>1</v>
      </c>
      <c r="K412" s="21">
        <v>43138</v>
      </c>
      <c r="L412" s="21">
        <v>43153</v>
      </c>
      <c r="M412" s="21">
        <v>43251</v>
      </c>
      <c r="N412" s="24" t="s">
        <v>2448</v>
      </c>
      <c r="O412" s="19" t="s">
        <v>557</v>
      </c>
      <c r="P412" s="19" t="s">
        <v>665</v>
      </c>
      <c r="Q412" s="19" t="s">
        <v>661</v>
      </c>
      <c r="R412" s="19" t="s">
        <v>708</v>
      </c>
      <c r="S412" s="19" t="s">
        <v>1930</v>
      </c>
      <c r="T412" t="s">
        <v>51</v>
      </c>
      <c r="U412" s="22">
        <v>0</v>
      </c>
      <c r="V412" s="22">
        <v>0</v>
      </c>
      <c r="W412" s="22">
        <v>0</v>
      </c>
      <c r="X412" s="22">
        <v>0</v>
      </c>
      <c r="Y412" s="22">
        <v>0</v>
      </c>
      <c r="Z412" s="22">
        <v>0</v>
      </c>
      <c r="AA412" s="22">
        <v>0</v>
      </c>
      <c r="AB412" s="22">
        <v>0</v>
      </c>
      <c r="AC412" s="22">
        <v>0</v>
      </c>
      <c r="AD412" s="22">
        <v>0</v>
      </c>
      <c r="AE412" s="22">
        <v>0</v>
      </c>
      <c r="AF412" s="22">
        <f t="shared" si="6"/>
        <v>0</v>
      </c>
      <c r="AG412" s="22">
        <v>0</v>
      </c>
      <c r="AH412" s="22">
        <v>0</v>
      </c>
      <c r="AI412" t="s">
        <v>562</v>
      </c>
      <c r="AJ412" t="s">
        <v>1306</v>
      </c>
    </row>
    <row r="413" spans="1:36" ht="43.5" outlineLevel="2" x14ac:dyDescent="0.35">
      <c r="A413" s="19" t="s">
        <v>551</v>
      </c>
      <c r="B413" s="19" t="s">
        <v>1083</v>
      </c>
      <c r="C413" s="19" t="s">
        <v>741</v>
      </c>
      <c r="D413" s="19">
        <v>2017</v>
      </c>
      <c r="E413" s="19" t="s">
        <v>1776</v>
      </c>
      <c r="F413" s="19">
        <v>80090664</v>
      </c>
      <c r="G413" s="19" t="s">
        <v>1931</v>
      </c>
      <c r="H413" s="19" t="s">
        <v>1932</v>
      </c>
      <c r="I413" s="19" t="s">
        <v>31</v>
      </c>
      <c r="J413" s="20">
        <v>1</v>
      </c>
      <c r="K413" s="21">
        <v>43138</v>
      </c>
      <c r="L413" s="21">
        <v>43165</v>
      </c>
      <c r="M413" s="21">
        <v>43304</v>
      </c>
      <c r="N413" s="24" t="s">
        <v>2448</v>
      </c>
      <c r="O413" s="19" t="s">
        <v>557</v>
      </c>
      <c r="P413" s="19" t="s">
        <v>665</v>
      </c>
      <c r="Q413" s="19" t="s">
        <v>864</v>
      </c>
      <c r="R413" s="19" t="s">
        <v>570</v>
      </c>
      <c r="S413" s="19" t="s">
        <v>1933</v>
      </c>
      <c r="T413" t="s">
        <v>45</v>
      </c>
      <c r="U413" s="22">
        <v>0</v>
      </c>
      <c r="V413" s="22">
        <v>0</v>
      </c>
      <c r="W413" s="22">
        <v>231.81</v>
      </c>
      <c r="X413" s="22">
        <v>0</v>
      </c>
      <c r="Y413" s="22">
        <v>19</v>
      </c>
      <c r="Z413" s="22">
        <v>0</v>
      </c>
      <c r="AA413" s="22">
        <v>0</v>
      </c>
      <c r="AB413" s="22">
        <v>0</v>
      </c>
      <c r="AC413" s="22">
        <v>0</v>
      </c>
      <c r="AD413" s="22">
        <v>0</v>
      </c>
      <c r="AE413" s="22">
        <v>250.81</v>
      </c>
      <c r="AF413" s="22">
        <f t="shared" si="6"/>
        <v>250.81</v>
      </c>
      <c r="AG413" s="22">
        <v>0</v>
      </c>
      <c r="AH413" s="22">
        <v>250.81</v>
      </c>
      <c r="AI413" t="s">
        <v>562</v>
      </c>
      <c r="AJ413" t="s">
        <v>1306</v>
      </c>
    </row>
    <row r="414" spans="1:36" ht="72.5" outlineLevel="2" x14ac:dyDescent="0.35">
      <c r="A414" s="19" t="s">
        <v>551</v>
      </c>
      <c r="B414" s="19" t="s">
        <v>945</v>
      </c>
      <c r="C414" s="19" t="s">
        <v>946</v>
      </c>
      <c r="D414" s="19">
        <v>2017</v>
      </c>
      <c r="E414" s="19" t="s">
        <v>1776</v>
      </c>
      <c r="F414" s="19">
        <v>80090670</v>
      </c>
      <c r="G414" s="19" t="s">
        <v>1934</v>
      </c>
      <c r="H414" s="19" t="s">
        <v>1935</v>
      </c>
      <c r="I414" s="19" t="s">
        <v>31</v>
      </c>
      <c r="J414" s="20">
        <v>1</v>
      </c>
      <c r="K414" s="21">
        <v>43130</v>
      </c>
      <c r="L414" s="21">
        <v>43144</v>
      </c>
      <c r="M414" s="21">
        <v>43192</v>
      </c>
      <c r="N414" s="24" t="s">
        <v>2448</v>
      </c>
      <c r="O414" s="19" t="s">
        <v>557</v>
      </c>
      <c r="P414" s="19" t="s">
        <v>558</v>
      </c>
      <c r="Q414" s="19" t="s">
        <v>590</v>
      </c>
      <c r="R414" s="19" t="s">
        <v>670</v>
      </c>
      <c r="S414" s="19" t="s">
        <v>1936</v>
      </c>
      <c r="T414" t="s">
        <v>51</v>
      </c>
      <c r="U414" s="22">
        <v>0</v>
      </c>
      <c r="V414" s="22">
        <v>0</v>
      </c>
      <c r="W414" s="22">
        <v>678.95</v>
      </c>
      <c r="X414" s="22">
        <v>0</v>
      </c>
      <c r="Y414" s="22">
        <v>258.01</v>
      </c>
      <c r="Z414" s="22">
        <v>0</v>
      </c>
      <c r="AA414" s="22">
        <v>0</v>
      </c>
      <c r="AB414" s="22">
        <v>0</v>
      </c>
      <c r="AC414" s="22">
        <v>0</v>
      </c>
      <c r="AD414" s="22">
        <v>0</v>
      </c>
      <c r="AE414" s="22">
        <v>936.96</v>
      </c>
      <c r="AF414" s="22">
        <f t="shared" si="6"/>
        <v>936.96</v>
      </c>
      <c r="AG414" s="22">
        <v>0</v>
      </c>
      <c r="AH414" s="22">
        <v>936.96</v>
      </c>
      <c r="AI414" t="s">
        <v>562</v>
      </c>
      <c r="AJ414" t="s">
        <v>1306</v>
      </c>
    </row>
    <row r="415" spans="1:36" ht="58" outlineLevel="2" x14ac:dyDescent="0.35">
      <c r="A415" s="19" t="s">
        <v>551</v>
      </c>
      <c r="B415" s="19" t="s">
        <v>794</v>
      </c>
      <c r="C415" s="19" t="s">
        <v>749</v>
      </c>
      <c r="D415" s="19">
        <v>2017</v>
      </c>
      <c r="E415" s="19" t="s">
        <v>1776</v>
      </c>
      <c r="F415" s="19">
        <v>80090648</v>
      </c>
      <c r="G415" s="19" t="s">
        <v>1937</v>
      </c>
      <c r="H415" s="19" t="s">
        <v>1938</v>
      </c>
      <c r="I415" s="19" t="s">
        <v>31</v>
      </c>
      <c r="J415" s="20">
        <v>1</v>
      </c>
      <c r="K415" s="21">
        <v>43129</v>
      </c>
      <c r="L415" s="21">
        <v>43131</v>
      </c>
      <c r="M415" s="21">
        <v>43248</v>
      </c>
      <c r="N415" s="24" t="s">
        <v>2448</v>
      </c>
      <c r="O415" s="19" t="s">
        <v>557</v>
      </c>
      <c r="P415" s="19" t="s">
        <v>558</v>
      </c>
      <c r="Q415" s="19" t="s">
        <v>655</v>
      </c>
      <c r="R415" s="19" t="s">
        <v>616</v>
      </c>
      <c r="S415" s="19" t="s">
        <v>1939</v>
      </c>
      <c r="T415" t="s">
        <v>212</v>
      </c>
      <c r="U415" s="22">
        <v>0</v>
      </c>
      <c r="V415" s="22">
        <v>0</v>
      </c>
      <c r="W415" s="22">
        <v>2985.44</v>
      </c>
      <c r="X415" s="22">
        <v>0</v>
      </c>
      <c r="Y415" s="22">
        <v>206.71</v>
      </c>
      <c r="Z415" s="22">
        <v>0</v>
      </c>
      <c r="AA415" s="22">
        <v>0</v>
      </c>
      <c r="AB415" s="22">
        <v>0</v>
      </c>
      <c r="AC415" s="22">
        <v>0</v>
      </c>
      <c r="AD415" s="22">
        <v>0</v>
      </c>
      <c r="AE415" s="22">
        <v>3192.15</v>
      </c>
      <c r="AF415" s="22">
        <f t="shared" si="6"/>
        <v>3192.15</v>
      </c>
      <c r="AG415" s="22">
        <v>0</v>
      </c>
      <c r="AH415" s="22">
        <v>3192.15</v>
      </c>
      <c r="AI415" t="s">
        <v>562</v>
      </c>
      <c r="AJ415" t="s">
        <v>1306</v>
      </c>
    </row>
    <row r="416" spans="1:36" ht="58" outlineLevel="2" x14ac:dyDescent="0.35">
      <c r="A416" s="19" t="s">
        <v>551</v>
      </c>
      <c r="B416" s="19" t="s">
        <v>636</v>
      </c>
      <c r="C416" s="19" t="s">
        <v>594</v>
      </c>
      <c r="D416" s="19">
        <v>2017</v>
      </c>
      <c r="E416" s="19" t="s">
        <v>1776</v>
      </c>
      <c r="F416" s="19">
        <v>80090709</v>
      </c>
      <c r="G416" s="19" t="s">
        <v>1940</v>
      </c>
      <c r="H416" s="19" t="s">
        <v>1941</v>
      </c>
      <c r="I416" s="19" t="s">
        <v>31</v>
      </c>
      <c r="J416" s="20">
        <v>1</v>
      </c>
      <c r="K416" s="21">
        <v>43129</v>
      </c>
      <c r="L416" s="21">
        <v>43130</v>
      </c>
      <c r="M416" s="21">
        <v>43520</v>
      </c>
      <c r="N416" s="24" t="s">
        <v>2448</v>
      </c>
      <c r="O416" s="19" t="s">
        <v>557</v>
      </c>
      <c r="P416" s="19" t="s">
        <v>665</v>
      </c>
      <c r="Q416" s="19" t="s">
        <v>735</v>
      </c>
      <c r="R416" s="19" t="s">
        <v>570</v>
      </c>
      <c r="S416" s="19" t="s">
        <v>1942</v>
      </c>
      <c r="T416" t="s">
        <v>33</v>
      </c>
      <c r="U416" s="22">
        <v>0</v>
      </c>
      <c r="V416" s="22">
        <v>0</v>
      </c>
      <c r="W416" s="22">
        <v>2367.23</v>
      </c>
      <c r="X416" s="22">
        <v>0</v>
      </c>
      <c r="Y416" s="22">
        <v>210.59</v>
      </c>
      <c r="Z416" s="22">
        <v>0</v>
      </c>
      <c r="AA416" s="22">
        <v>0</v>
      </c>
      <c r="AB416" s="22">
        <v>0</v>
      </c>
      <c r="AC416" s="22">
        <v>0</v>
      </c>
      <c r="AD416" s="22">
        <v>0</v>
      </c>
      <c r="AE416" s="22">
        <v>2577.8200000000002</v>
      </c>
      <c r="AF416" s="22">
        <f t="shared" si="6"/>
        <v>2577.8200000000002</v>
      </c>
      <c r="AG416" s="22">
        <v>0</v>
      </c>
      <c r="AH416" s="22">
        <v>2577.8200000000002</v>
      </c>
      <c r="AI416" t="s">
        <v>562</v>
      </c>
      <c r="AJ416" t="s">
        <v>1306</v>
      </c>
    </row>
    <row r="417" spans="1:36" ht="29" outlineLevel="2" x14ac:dyDescent="0.35">
      <c r="A417" s="19" t="s">
        <v>551</v>
      </c>
      <c r="B417" s="19" t="s">
        <v>658</v>
      </c>
      <c r="C417" s="19" t="s">
        <v>643</v>
      </c>
      <c r="D417" s="19">
        <v>2017</v>
      </c>
      <c r="E417" s="19" t="s">
        <v>1776</v>
      </c>
      <c r="F417" s="19">
        <v>80090702</v>
      </c>
      <c r="G417" s="19" t="s">
        <v>1943</v>
      </c>
      <c r="H417" s="19" t="s">
        <v>1944</v>
      </c>
      <c r="I417" s="19" t="s">
        <v>31</v>
      </c>
      <c r="J417" s="20">
        <v>1</v>
      </c>
      <c r="K417" s="21">
        <v>43126</v>
      </c>
      <c r="L417" s="21">
        <v>43130</v>
      </c>
      <c r="M417" s="21">
        <v>43175</v>
      </c>
      <c r="N417" s="24" t="s">
        <v>2448</v>
      </c>
      <c r="O417" s="19" t="s">
        <v>557</v>
      </c>
      <c r="P417" s="19" t="s">
        <v>568</v>
      </c>
      <c r="Q417" s="19" t="s">
        <v>864</v>
      </c>
      <c r="R417" s="19" t="s">
        <v>578</v>
      </c>
      <c r="S417" s="19" t="s">
        <v>1945</v>
      </c>
      <c r="T417" t="s">
        <v>62</v>
      </c>
      <c r="U417" s="22">
        <v>0</v>
      </c>
      <c r="V417" s="22">
        <v>0</v>
      </c>
      <c r="W417" s="22">
        <v>887.78</v>
      </c>
      <c r="X417" s="22">
        <v>0</v>
      </c>
      <c r="Y417" s="22">
        <v>43.06</v>
      </c>
      <c r="Z417" s="22">
        <v>0</v>
      </c>
      <c r="AA417" s="22">
        <v>0</v>
      </c>
      <c r="AB417" s="22">
        <v>0</v>
      </c>
      <c r="AC417" s="22">
        <v>0</v>
      </c>
      <c r="AD417" s="22">
        <v>0</v>
      </c>
      <c r="AE417" s="22">
        <v>930.84</v>
      </c>
      <c r="AF417" s="22">
        <f t="shared" si="6"/>
        <v>930.84</v>
      </c>
      <c r="AG417" s="22">
        <v>0</v>
      </c>
      <c r="AH417" s="22">
        <v>930.84</v>
      </c>
      <c r="AI417" t="s">
        <v>562</v>
      </c>
      <c r="AJ417" t="s">
        <v>1306</v>
      </c>
    </row>
    <row r="418" spans="1:36" ht="72.5" outlineLevel="2" x14ac:dyDescent="0.35">
      <c r="A418" s="19" t="s">
        <v>551</v>
      </c>
      <c r="B418" s="19" t="s">
        <v>1867</v>
      </c>
      <c r="C418" s="19" t="s">
        <v>749</v>
      </c>
      <c r="D418" s="19">
        <v>2017</v>
      </c>
      <c r="E418" s="19" t="s">
        <v>1776</v>
      </c>
      <c r="F418" s="19">
        <v>80090683</v>
      </c>
      <c r="G418" s="19" t="s">
        <v>1946</v>
      </c>
      <c r="H418" s="19" t="s">
        <v>1947</v>
      </c>
      <c r="I418" s="19" t="s">
        <v>31</v>
      </c>
      <c r="J418" s="20">
        <v>1</v>
      </c>
      <c r="K418" s="21">
        <v>43123</v>
      </c>
      <c r="L418" s="21">
        <v>43209</v>
      </c>
      <c r="M418" s="21">
        <v>43244</v>
      </c>
      <c r="N418" s="24" t="s">
        <v>2448</v>
      </c>
      <c r="O418" s="19" t="s">
        <v>557</v>
      </c>
      <c r="P418" s="19" t="s">
        <v>558</v>
      </c>
      <c r="Q418" s="19" t="s">
        <v>683</v>
      </c>
      <c r="R418" s="19" t="s">
        <v>616</v>
      </c>
      <c r="S418" s="19" t="s">
        <v>1948</v>
      </c>
      <c r="T418" t="s">
        <v>121</v>
      </c>
      <c r="U418" s="22">
        <v>0</v>
      </c>
      <c r="V418" s="22">
        <v>0</v>
      </c>
      <c r="W418" s="22">
        <v>95.05</v>
      </c>
      <c r="X418" s="22">
        <v>0</v>
      </c>
      <c r="Y418" s="22">
        <v>10.039999999999999</v>
      </c>
      <c r="Z418" s="22">
        <v>0</v>
      </c>
      <c r="AA418" s="22">
        <v>0</v>
      </c>
      <c r="AB418" s="22">
        <v>0</v>
      </c>
      <c r="AC418" s="22">
        <v>0</v>
      </c>
      <c r="AD418" s="22">
        <v>0</v>
      </c>
      <c r="AE418" s="22">
        <v>105.09</v>
      </c>
      <c r="AF418" s="22">
        <f t="shared" si="6"/>
        <v>105.09</v>
      </c>
      <c r="AG418" s="22">
        <v>0</v>
      </c>
      <c r="AH418" s="22">
        <v>105.09</v>
      </c>
      <c r="AI418" t="s">
        <v>562</v>
      </c>
      <c r="AJ418" t="s">
        <v>1306</v>
      </c>
    </row>
    <row r="419" spans="1:36" ht="116" outlineLevel="2" x14ac:dyDescent="0.35">
      <c r="A419" s="19" t="s">
        <v>551</v>
      </c>
      <c r="B419" s="19" t="s">
        <v>636</v>
      </c>
      <c r="C419" s="19" t="s">
        <v>594</v>
      </c>
      <c r="D419" s="19">
        <v>2017</v>
      </c>
      <c r="E419" s="19" t="s">
        <v>1776</v>
      </c>
      <c r="F419" s="19">
        <v>80090698</v>
      </c>
      <c r="G419" s="19" t="s">
        <v>1949</v>
      </c>
      <c r="H419" s="19" t="s">
        <v>1950</v>
      </c>
      <c r="I419" s="19" t="s">
        <v>31</v>
      </c>
      <c r="J419" s="20">
        <v>1</v>
      </c>
      <c r="K419" s="21">
        <v>43122</v>
      </c>
      <c r="L419" s="21">
        <v>43124</v>
      </c>
      <c r="M419" s="21">
        <v>43144</v>
      </c>
      <c r="N419" s="24" t="s">
        <v>2448</v>
      </c>
      <c r="O419" s="19" t="s">
        <v>557</v>
      </c>
      <c r="P419" s="19" t="s">
        <v>576</v>
      </c>
      <c r="Q419" s="19" t="s">
        <v>577</v>
      </c>
      <c r="R419" s="19" t="s">
        <v>670</v>
      </c>
      <c r="S419" s="19" t="s">
        <v>1951</v>
      </c>
      <c r="T419" t="s">
        <v>33</v>
      </c>
      <c r="U419" s="22">
        <v>0</v>
      </c>
      <c r="V419" s="22">
        <v>0</v>
      </c>
      <c r="W419" s="22">
        <v>725</v>
      </c>
      <c r="X419" s="22">
        <v>0</v>
      </c>
      <c r="Y419" s="22">
        <v>0</v>
      </c>
      <c r="Z419" s="22">
        <v>0</v>
      </c>
      <c r="AA419" s="22">
        <v>0</v>
      </c>
      <c r="AB419" s="22">
        <v>0</v>
      </c>
      <c r="AC419" s="22">
        <v>0</v>
      </c>
      <c r="AD419" s="22">
        <v>0</v>
      </c>
      <c r="AE419" s="22">
        <v>725</v>
      </c>
      <c r="AF419" s="22">
        <f t="shared" si="6"/>
        <v>725</v>
      </c>
      <c r="AG419" s="22">
        <v>0</v>
      </c>
      <c r="AH419" s="22">
        <v>725</v>
      </c>
      <c r="AI419" t="s">
        <v>562</v>
      </c>
      <c r="AJ419" t="s">
        <v>1306</v>
      </c>
    </row>
    <row r="420" spans="1:36" ht="116" outlineLevel="2" x14ac:dyDescent="0.35">
      <c r="A420" s="19" t="s">
        <v>551</v>
      </c>
      <c r="B420" s="19" t="s">
        <v>945</v>
      </c>
      <c r="C420" s="19" t="s">
        <v>946</v>
      </c>
      <c r="D420" s="19">
        <v>2017</v>
      </c>
      <c r="E420" s="19" t="s">
        <v>1776</v>
      </c>
      <c r="F420" s="19">
        <v>80090728</v>
      </c>
      <c r="G420" s="19" t="s">
        <v>1952</v>
      </c>
      <c r="H420" s="19" t="s">
        <v>1953</v>
      </c>
      <c r="I420" s="19" t="s">
        <v>31</v>
      </c>
      <c r="J420" s="20">
        <v>1</v>
      </c>
      <c r="K420" s="21">
        <v>43122</v>
      </c>
      <c r="L420" s="21">
        <v>43130</v>
      </c>
      <c r="M420" s="21">
        <v>43685</v>
      </c>
      <c r="N420" s="24" t="s">
        <v>2448</v>
      </c>
      <c r="O420" s="19" t="s">
        <v>557</v>
      </c>
      <c r="P420" s="19" t="s">
        <v>609</v>
      </c>
      <c r="Q420" s="19" t="s">
        <v>610</v>
      </c>
      <c r="R420" s="19" t="s">
        <v>591</v>
      </c>
      <c r="S420" s="19" t="s">
        <v>1954</v>
      </c>
      <c r="T420" t="s">
        <v>69</v>
      </c>
      <c r="U420" s="22">
        <v>0</v>
      </c>
      <c r="V420" s="22">
        <v>0</v>
      </c>
      <c r="W420" s="22">
        <v>5205.42</v>
      </c>
      <c r="X420" s="22">
        <v>0</v>
      </c>
      <c r="Y420" s="22">
        <v>745.86</v>
      </c>
      <c r="Z420" s="22">
        <v>0</v>
      </c>
      <c r="AA420" s="22">
        <v>0</v>
      </c>
      <c r="AB420" s="22">
        <v>-119.23</v>
      </c>
      <c r="AC420" s="22">
        <v>0</v>
      </c>
      <c r="AD420" s="22">
        <v>0</v>
      </c>
      <c r="AE420" s="22">
        <v>5951.28</v>
      </c>
      <c r="AF420" s="22">
        <f t="shared" si="6"/>
        <v>5832.05</v>
      </c>
      <c r="AG420" s="22">
        <v>0</v>
      </c>
      <c r="AH420" s="22">
        <v>5832.05</v>
      </c>
      <c r="AI420" t="s">
        <v>562</v>
      </c>
      <c r="AJ420" t="s">
        <v>1306</v>
      </c>
    </row>
    <row r="421" spans="1:36" ht="58" outlineLevel="2" x14ac:dyDescent="0.35">
      <c r="A421" s="19" t="s">
        <v>551</v>
      </c>
      <c r="B421" s="19" t="s">
        <v>996</v>
      </c>
      <c r="C421" s="19" t="s">
        <v>997</v>
      </c>
      <c r="D421" s="19">
        <v>2017</v>
      </c>
      <c r="E421" s="19" t="s">
        <v>1776</v>
      </c>
      <c r="F421" s="19">
        <v>80090758</v>
      </c>
      <c r="G421" s="19" t="s">
        <v>1955</v>
      </c>
      <c r="H421" s="19" t="s">
        <v>1956</v>
      </c>
      <c r="I421" s="19" t="s">
        <v>31</v>
      </c>
      <c r="J421" s="20">
        <v>1</v>
      </c>
      <c r="K421" s="21">
        <v>43119</v>
      </c>
      <c r="L421" s="21">
        <v>43119</v>
      </c>
      <c r="M421" s="21">
        <v>43132</v>
      </c>
      <c r="N421" s="24" t="s">
        <v>2448</v>
      </c>
      <c r="O421" s="19" t="s">
        <v>557</v>
      </c>
      <c r="P421" s="19" t="s">
        <v>576</v>
      </c>
      <c r="Q421" s="19" t="s">
        <v>577</v>
      </c>
      <c r="R421" s="19" t="s">
        <v>578</v>
      </c>
      <c r="S421" s="19" t="s">
        <v>1957</v>
      </c>
      <c r="T421" t="s">
        <v>51</v>
      </c>
      <c r="U421" s="22">
        <v>0</v>
      </c>
      <c r="V421" s="22">
        <v>0</v>
      </c>
      <c r="W421" s="22">
        <v>407.76</v>
      </c>
      <c r="X421" s="22">
        <v>0</v>
      </c>
      <c r="Y421" s="22">
        <v>11.84</v>
      </c>
      <c r="Z421" s="22">
        <v>0</v>
      </c>
      <c r="AA421" s="22">
        <v>0</v>
      </c>
      <c r="AB421" s="22">
        <v>0</v>
      </c>
      <c r="AC421" s="22">
        <v>0</v>
      </c>
      <c r="AD421" s="22">
        <v>0</v>
      </c>
      <c r="AE421" s="22">
        <v>419.6</v>
      </c>
      <c r="AF421" s="22">
        <f t="shared" si="6"/>
        <v>419.6</v>
      </c>
      <c r="AG421" s="22">
        <v>0</v>
      </c>
      <c r="AH421" s="22">
        <v>419.6</v>
      </c>
      <c r="AI421" t="s">
        <v>562</v>
      </c>
      <c r="AJ421" t="s">
        <v>1306</v>
      </c>
    </row>
    <row r="422" spans="1:36" ht="58" outlineLevel="2" x14ac:dyDescent="0.35">
      <c r="A422" s="19" t="s">
        <v>551</v>
      </c>
      <c r="B422" s="19" t="s">
        <v>605</v>
      </c>
      <c r="C422" s="19" t="s">
        <v>606</v>
      </c>
      <c r="D422" s="19">
        <v>2017</v>
      </c>
      <c r="E422" s="19" t="s">
        <v>1776</v>
      </c>
      <c r="F422" s="19">
        <v>80090684</v>
      </c>
      <c r="G422" s="19" t="s">
        <v>1958</v>
      </c>
      <c r="H422" s="19" t="s">
        <v>1959</v>
      </c>
      <c r="I422" s="19" t="s">
        <v>31</v>
      </c>
      <c r="J422" s="20">
        <v>1</v>
      </c>
      <c r="K422" s="21">
        <v>43117</v>
      </c>
      <c r="L422" s="21">
        <v>43117</v>
      </c>
      <c r="M422" s="21">
        <v>44979</v>
      </c>
      <c r="N422" s="24" t="s">
        <v>2448</v>
      </c>
      <c r="O422" s="19" t="s">
        <v>557</v>
      </c>
      <c r="P422" s="19" t="s">
        <v>609</v>
      </c>
      <c r="Q422" s="19" t="s">
        <v>590</v>
      </c>
      <c r="R422" s="19" t="s">
        <v>616</v>
      </c>
      <c r="S422" s="19" t="s">
        <v>1960</v>
      </c>
      <c r="T422" t="s">
        <v>69</v>
      </c>
      <c r="U422" s="22">
        <v>2280</v>
      </c>
      <c r="V422" s="22">
        <v>0</v>
      </c>
      <c r="W422" s="22">
        <v>5605.07</v>
      </c>
      <c r="X422" s="22">
        <v>0</v>
      </c>
      <c r="Y422" s="22">
        <v>7725.47</v>
      </c>
      <c r="Z422" s="22">
        <v>0</v>
      </c>
      <c r="AA422" s="22">
        <v>0</v>
      </c>
      <c r="AB422" s="22">
        <v>-540.54999999999995</v>
      </c>
      <c r="AC422" s="22">
        <v>0</v>
      </c>
      <c r="AD422" s="22">
        <v>0</v>
      </c>
      <c r="AE422" s="22">
        <v>15610.54</v>
      </c>
      <c r="AF422" s="22">
        <f t="shared" si="6"/>
        <v>15069.990000000002</v>
      </c>
      <c r="AG422" s="22">
        <v>0</v>
      </c>
      <c r="AH422" s="22">
        <v>15069.99</v>
      </c>
      <c r="AI422" t="s">
        <v>562</v>
      </c>
      <c r="AJ422" t="s">
        <v>1306</v>
      </c>
    </row>
    <row r="423" spans="1:36" ht="58" outlineLevel="2" x14ac:dyDescent="0.35">
      <c r="A423" s="19" t="s">
        <v>551</v>
      </c>
      <c r="B423" s="19" t="s">
        <v>572</v>
      </c>
      <c r="C423" s="19" t="s">
        <v>573</v>
      </c>
      <c r="D423" s="19">
        <v>2017</v>
      </c>
      <c r="E423" s="19" t="s">
        <v>1776</v>
      </c>
      <c r="F423" s="19">
        <v>80090647</v>
      </c>
      <c r="G423" s="19" t="s">
        <v>1961</v>
      </c>
      <c r="H423" s="19" t="s">
        <v>1962</v>
      </c>
      <c r="I423" s="19" t="s">
        <v>31</v>
      </c>
      <c r="J423" s="20">
        <v>1</v>
      </c>
      <c r="K423" s="21">
        <v>43112</v>
      </c>
      <c r="L423" s="21">
        <v>43112</v>
      </c>
      <c r="M423" s="21">
        <v>44550</v>
      </c>
      <c r="N423" s="24" t="s">
        <v>2448</v>
      </c>
      <c r="O423" s="19" t="s">
        <v>557</v>
      </c>
      <c r="P423" s="19" t="s">
        <v>609</v>
      </c>
      <c r="Q423" s="19" t="s">
        <v>871</v>
      </c>
      <c r="R423" s="19" t="s">
        <v>591</v>
      </c>
      <c r="S423" s="19" t="s">
        <v>1963</v>
      </c>
      <c r="T423" t="s">
        <v>139</v>
      </c>
      <c r="U423" s="22">
        <v>11325.4</v>
      </c>
      <c r="V423" s="22">
        <v>0</v>
      </c>
      <c r="W423" s="22">
        <v>3254.87</v>
      </c>
      <c r="X423" s="22">
        <v>0</v>
      </c>
      <c r="Y423" s="22">
        <v>15868.71</v>
      </c>
      <c r="Z423" s="22">
        <v>0</v>
      </c>
      <c r="AA423" s="22">
        <v>0</v>
      </c>
      <c r="AB423" s="22">
        <v>-123.84</v>
      </c>
      <c r="AC423" s="22">
        <v>0</v>
      </c>
      <c r="AD423" s="22">
        <v>0</v>
      </c>
      <c r="AE423" s="22">
        <v>30448.98</v>
      </c>
      <c r="AF423" s="22">
        <f t="shared" si="6"/>
        <v>30325.14</v>
      </c>
      <c r="AG423" s="22">
        <v>0</v>
      </c>
      <c r="AH423" s="22">
        <v>30325.14</v>
      </c>
      <c r="AI423" t="s">
        <v>562</v>
      </c>
      <c r="AJ423" t="s">
        <v>1306</v>
      </c>
    </row>
    <row r="424" spans="1:36" ht="29" outlineLevel="2" x14ac:dyDescent="0.35">
      <c r="A424" s="19" t="s">
        <v>551</v>
      </c>
      <c r="B424" s="19" t="s">
        <v>658</v>
      </c>
      <c r="C424" s="19" t="s">
        <v>643</v>
      </c>
      <c r="D424" s="19">
        <v>2017</v>
      </c>
      <c r="E424" s="19" t="s">
        <v>1776</v>
      </c>
      <c r="F424" s="19">
        <v>80090675</v>
      </c>
      <c r="G424" s="19" t="s">
        <v>1964</v>
      </c>
      <c r="H424" s="19" t="s">
        <v>1965</v>
      </c>
      <c r="I424" s="19" t="s">
        <v>31</v>
      </c>
      <c r="J424" s="20">
        <v>1</v>
      </c>
      <c r="K424" s="21">
        <v>43112</v>
      </c>
      <c r="L424" s="21">
        <v>43117</v>
      </c>
      <c r="M424" s="21">
        <v>43195</v>
      </c>
      <c r="N424" s="24" t="s">
        <v>2448</v>
      </c>
      <c r="O424" s="19" t="s">
        <v>557</v>
      </c>
      <c r="P424" s="19" t="s">
        <v>568</v>
      </c>
      <c r="Q424" s="19" t="s">
        <v>649</v>
      </c>
      <c r="R424" s="19" t="s">
        <v>670</v>
      </c>
      <c r="S424" s="19" t="s">
        <v>1966</v>
      </c>
      <c r="T424" t="s">
        <v>62</v>
      </c>
      <c r="U424" s="22">
        <v>0</v>
      </c>
      <c r="V424" s="22">
        <v>0</v>
      </c>
      <c r="W424" s="22">
        <v>547.67999999999995</v>
      </c>
      <c r="X424" s="22">
        <v>0</v>
      </c>
      <c r="Y424" s="22">
        <v>46.06</v>
      </c>
      <c r="Z424" s="22">
        <v>0</v>
      </c>
      <c r="AA424" s="22">
        <v>0</v>
      </c>
      <c r="AB424" s="22">
        <v>0</v>
      </c>
      <c r="AC424" s="22">
        <v>0</v>
      </c>
      <c r="AD424" s="22">
        <v>0</v>
      </c>
      <c r="AE424" s="22">
        <v>593.74</v>
      </c>
      <c r="AF424" s="22">
        <f t="shared" si="6"/>
        <v>593.74</v>
      </c>
      <c r="AG424" s="22">
        <v>0</v>
      </c>
      <c r="AH424" s="22">
        <v>593.74</v>
      </c>
      <c r="AI424" t="s">
        <v>562</v>
      </c>
      <c r="AJ424" t="s">
        <v>1306</v>
      </c>
    </row>
    <row r="425" spans="1:36" ht="116" outlineLevel="2" x14ac:dyDescent="0.35">
      <c r="A425" s="19" t="s">
        <v>551</v>
      </c>
      <c r="B425" s="19" t="s">
        <v>1015</v>
      </c>
      <c r="C425" s="19" t="s">
        <v>1016</v>
      </c>
      <c r="D425" s="19">
        <v>2017</v>
      </c>
      <c r="E425" s="19" t="s">
        <v>1776</v>
      </c>
      <c r="F425" s="19">
        <v>80090705</v>
      </c>
      <c r="G425" s="19" t="s">
        <v>1967</v>
      </c>
      <c r="H425" s="19" t="s">
        <v>1968</v>
      </c>
      <c r="I425" s="19" t="s">
        <v>31</v>
      </c>
      <c r="J425" s="20">
        <v>1</v>
      </c>
      <c r="K425" s="21">
        <v>43104</v>
      </c>
      <c r="L425" s="21">
        <v>43109</v>
      </c>
      <c r="M425" s="21">
        <v>43199</v>
      </c>
      <c r="N425" s="24" t="s">
        <v>2448</v>
      </c>
      <c r="O425" s="19" t="s">
        <v>557</v>
      </c>
      <c r="P425" s="19" t="s">
        <v>568</v>
      </c>
      <c r="Q425" s="19" t="s">
        <v>569</v>
      </c>
      <c r="R425" s="19" t="s">
        <v>570</v>
      </c>
      <c r="S425" s="19" t="s">
        <v>1969</v>
      </c>
      <c r="T425" t="s">
        <v>1021</v>
      </c>
      <c r="U425" s="22">
        <v>0</v>
      </c>
      <c r="V425" s="22">
        <v>0</v>
      </c>
      <c r="W425" s="22">
        <v>1903.17</v>
      </c>
      <c r="X425" s="22">
        <v>0</v>
      </c>
      <c r="Y425" s="22">
        <v>242.7</v>
      </c>
      <c r="Z425" s="22">
        <v>0</v>
      </c>
      <c r="AA425" s="22">
        <v>0</v>
      </c>
      <c r="AB425" s="22">
        <v>0</v>
      </c>
      <c r="AC425" s="22">
        <v>0</v>
      </c>
      <c r="AD425" s="22">
        <v>0</v>
      </c>
      <c r="AE425" s="22">
        <v>2145.87</v>
      </c>
      <c r="AF425" s="22">
        <f t="shared" si="6"/>
        <v>2145.87</v>
      </c>
      <c r="AG425" s="22">
        <v>0</v>
      </c>
      <c r="AH425" s="22">
        <v>2145.87</v>
      </c>
      <c r="AI425" t="s">
        <v>562</v>
      </c>
      <c r="AJ425" t="s">
        <v>1306</v>
      </c>
    </row>
    <row r="426" spans="1:36" ht="58" outlineLevel="2" x14ac:dyDescent="0.35">
      <c r="A426" s="19" t="s">
        <v>551</v>
      </c>
      <c r="B426" s="19" t="s">
        <v>658</v>
      </c>
      <c r="C426" s="19" t="s">
        <v>643</v>
      </c>
      <c r="D426" s="19">
        <v>2017</v>
      </c>
      <c r="E426" s="19" t="s">
        <v>1776</v>
      </c>
      <c r="F426" s="19">
        <v>80090646</v>
      </c>
      <c r="G426" s="19" t="s">
        <v>1970</v>
      </c>
      <c r="H426" s="19" t="s">
        <v>1971</v>
      </c>
      <c r="I426" s="19" t="s">
        <v>31</v>
      </c>
      <c r="J426" s="20">
        <v>1</v>
      </c>
      <c r="K426" s="21">
        <v>43096</v>
      </c>
      <c r="L426" s="21">
        <v>43097</v>
      </c>
      <c r="M426" s="21">
        <v>43336</v>
      </c>
      <c r="N426" s="24" t="s">
        <v>2448</v>
      </c>
      <c r="O426" s="19" t="s">
        <v>557</v>
      </c>
      <c r="P426" s="19" t="s">
        <v>665</v>
      </c>
      <c r="Q426" s="19" t="s">
        <v>871</v>
      </c>
      <c r="R426" s="19" t="s">
        <v>1972</v>
      </c>
      <c r="S426" s="19" t="s">
        <v>1973</v>
      </c>
      <c r="T426" t="s">
        <v>62</v>
      </c>
      <c r="U426" s="22">
        <v>1962.67</v>
      </c>
      <c r="V426" s="22">
        <v>0</v>
      </c>
      <c r="W426" s="22">
        <v>9007.5300000000007</v>
      </c>
      <c r="X426" s="22">
        <v>0</v>
      </c>
      <c r="Y426" s="22">
        <v>460.52</v>
      </c>
      <c r="Z426" s="22">
        <v>0</v>
      </c>
      <c r="AA426" s="22">
        <v>0</v>
      </c>
      <c r="AB426" s="22">
        <v>-33.57</v>
      </c>
      <c r="AC426" s="22">
        <v>0</v>
      </c>
      <c r="AD426" s="22">
        <v>0</v>
      </c>
      <c r="AE426" s="22">
        <v>11430.72</v>
      </c>
      <c r="AF426" s="22">
        <f t="shared" si="6"/>
        <v>11397.15</v>
      </c>
      <c r="AG426" s="22">
        <v>0</v>
      </c>
      <c r="AH426" s="22">
        <v>11397.15</v>
      </c>
      <c r="AI426" t="s">
        <v>562</v>
      </c>
      <c r="AJ426" t="s">
        <v>1306</v>
      </c>
    </row>
    <row r="427" spans="1:36" ht="43.5" outlineLevel="2" x14ac:dyDescent="0.35">
      <c r="A427" s="19" t="s">
        <v>551</v>
      </c>
      <c r="B427" s="19" t="s">
        <v>1974</v>
      </c>
      <c r="C427" s="19" t="s">
        <v>1975</v>
      </c>
      <c r="D427" s="19">
        <v>2017</v>
      </c>
      <c r="E427" s="19" t="s">
        <v>1776</v>
      </c>
      <c r="F427" s="19">
        <v>80090665</v>
      </c>
      <c r="G427" s="19" t="s">
        <v>1976</v>
      </c>
      <c r="H427" s="19" t="s">
        <v>1977</v>
      </c>
      <c r="I427" s="19" t="s">
        <v>31</v>
      </c>
      <c r="J427" s="20">
        <v>1</v>
      </c>
      <c r="K427" s="21">
        <v>43090</v>
      </c>
      <c r="L427" s="21">
        <v>43103</v>
      </c>
      <c r="M427" s="21">
        <v>43290</v>
      </c>
      <c r="N427" s="24" t="s">
        <v>2448</v>
      </c>
      <c r="O427" s="19" t="s">
        <v>557</v>
      </c>
      <c r="P427" s="19" t="s">
        <v>665</v>
      </c>
      <c r="Q427" s="19" t="s">
        <v>569</v>
      </c>
      <c r="R427" s="19" t="s">
        <v>570</v>
      </c>
      <c r="S427" s="19" t="s">
        <v>1978</v>
      </c>
      <c r="T427" t="s">
        <v>246</v>
      </c>
      <c r="U427" s="22">
        <v>0</v>
      </c>
      <c r="V427" s="22">
        <v>0</v>
      </c>
      <c r="W427" s="22">
        <v>771.24</v>
      </c>
      <c r="X427" s="22">
        <v>0</v>
      </c>
      <c r="Y427" s="22">
        <v>115.83</v>
      </c>
      <c r="Z427" s="22">
        <v>0</v>
      </c>
      <c r="AA427" s="22">
        <v>0</v>
      </c>
      <c r="AB427" s="22">
        <v>-42.02</v>
      </c>
      <c r="AC427" s="22">
        <v>0</v>
      </c>
      <c r="AD427" s="22">
        <v>0</v>
      </c>
      <c r="AE427" s="22">
        <v>887.07</v>
      </c>
      <c r="AF427" s="22">
        <f t="shared" si="6"/>
        <v>845.05000000000007</v>
      </c>
      <c r="AG427" s="22">
        <v>0</v>
      </c>
      <c r="AH427" s="22">
        <v>845.05</v>
      </c>
      <c r="AI427" t="s">
        <v>562</v>
      </c>
      <c r="AJ427" t="s">
        <v>1306</v>
      </c>
    </row>
    <row r="428" spans="1:36" ht="72.5" outlineLevel="2" x14ac:dyDescent="0.35">
      <c r="A428" s="19" t="s">
        <v>551</v>
      </c>
      <c r="B428" s="19" t="s">
        <v>1015</v>
      </c>
      <c r="C428" s="19" t="s">
        <v>1016</v>
      </c>
      <c r="D428" s="19">
        <v>2017</v>
      </c>
      <c r="E428" s="19" t="s">
        <v>1776</v>
      </c>
      <c r="F428" s="19">
        <v>80090643</v>
      </c>
      <c r="G428" s="19" t="s">
        <v>1979</v>
      </c>
      <c r="H428" s="19" t="s">
        <v>1980</v>
      </c>
      <c r="I428" s="19" t="s">
        <v>31</v>
      </c>
      <c r="J428" s="20">
        <v>1</v>
      </c>
      <c r="K428" s="21">
        <v>43080</v>
      </c>
      <c r="L428" s="21">
        <v>43081</v>
      </c>
      <c r="M428" s="21">
        <v>43110</v>
      </c>
      <c r="N428" s="24" t="s">
        <v>2448</v>
      </c>
      <c r="O428" s="19" t="s">
        <v>557</v>
      </c>
      <c r="P428" s="19" t="s">
        <v>576</v>
      </c>
      <c r="Q428" s="19" t="s">
        <v>577</v>
      </c>
      <c r="R428" s="19" t="s">
        <v>578</v>
      </c>
      <c r="S428" s="19" t="s">
        <v>1981</v>
      </c>
      <c r="T428" t="s">
        <v>1021</v>
      </c>
      <c r="U428" s="22">
        <v>0</v>
      </c>
      <c r="V428" s="22">
        <v>0</v>
      </c>
      <c r="W428" s="22">
        <v>380.67</v>
      </c>
      <c r="X428" s="22">
        <v>0</v>
      </c>
      <c r="Y428" s="22">
        <v>57.27</v>
      </c>
      <c r="Z428" s="22">
        <v>0</v>
      </c>
      <c r="AA428" s="22">
        <v>0</v>
      </c>
      <c r="AB428" s="22">
        <v>0</v>
      </c>
      <c r="AC428" s="22">
        <v>0</v>
      </c>
      <c r="AD428" s="22">
        <v>0</v>
      </c>
      <c r="AE428" s="22">
        <v>437.94</v>
      </c>
      <c r="AF428" s="22">
        <f t="shared" si="6"/>
        <v>437.94</v>
      </c>
      <c r="AG428" s="22">
        <v>0</v>
      </c>
      <c r="AH428" s="22">
        <v>437.94</v>
      </c>
      <c r="AI428" t="s">
        <v>562</v>
      </c>
      <c r="AJ428" t="s">
        <v>1306</v>
      </c>
    </row>
    <row r="429" spans="1:36" ht="58" outlineLevel="2" x14ac:dyDescent="0.35">
      <c r="A429" s="19" t="s">
        <v>551</v>
      </c>
      <c r="B429" s="19" t="s">
        <v>697</v>
      </c>
      <c r="C429" s="19" t="s">
        <v>698</v>
      </c>
      <c r="D429" s="19">
        <v>2017</v>
      </c>
      <c r="E429" s="19" t="s">
        <v>1776</v>
      </c>
      <c r="F429" s="19">
        <v>80090658</v>
      </c>
      <c r="G429" s="19" t="s">
        <v>1982</v>
      </c>
      <c r="H429" s="19" t="s">
        <v>1983</v>
      </c>
      <c r="I429" s="19" t="s">
        <v>31</v>
      </c>
      <c r="J429" s="20">
        <v>1</v>
      </c>
      <c r="K429" s="21">
        <v>43077</v>
      </c>
      <c r="L429" s="21">
        <v>43081</v>
      </c>
      <c r="M429" s="21">
        <v>43203</v>
      </c>
      <c r="N429" s="24" t="s">
        <v>2448</v>
      </c>
      <c r="O429" s="19" t="s">
        <v>603</v>
      </c>
      <c r="P429" s="19" t="s">
        <v>665</v>
      </c>
      <c r="Q429" s="19" t="s">
        <v>569</v>
      </c>
      <c r="R429" s="19" t="s">
        <v>570</v>
      </c>
      <c r="S429" s="19" t="s">
        <v>1984</v>
      </c>
      <c r="T429" t="s">
        <v>69</v>
      </c>
      <c r="U429" s="22">
        <v>0</v>
      </c>
      <c r="V429" s="22">
        <v>0</v>
      </c>
      <c r="W429" s="22">
        <v>1362.08</v>
      </c>
      <c r="X429" s="22">
        <v>0</v>
      </c>
      <c r="Y429" s="22">
        <v>124.5</v>
      </c>
      <c r="Z429" s="22">
        <v>0</v>
      </c>
      <c r="AA429" s="22">
        <v>0</v>
      </c>
      <c r="AB429" s="22">
        <v>0</v>
      </c>
      <c r="AC429" s="22">
        <v>0</v>
      </c>
      <c r="AD429" s="22">
        <v>0</v>
      </c>
      <c r="AE429" s="22">
        <v>1486.58</v>
      </c>
      <c r="AF429" s="22">
        <f t="shared" si="6"/>
        <v>1486.58</v>
      </c>
      <c r="AG429" s="22">
        <v>0</v>
      </c>
      <c r="AH429" s="22">
        <v>1486.58</v>
      </c>
      <c r="AI429" t="s">
        <v>562</v>
      </c>
      <c r="AJ429" t="s">
        <v>1306</v>
      </c>
    </row>
    <row r="430" spans="1:36" ht="43.5" outlineLevel="2" x14ac:dyDescent="0.35">
      <c r="A430" s="19" t="s">
        <v>551</v>
      </c>
      <c r="B430" s="19" t="s">
        <v>636</v>
      </c>
      <c r="C430" s="19" t="s">
        <v>594</v>
      </c>
      <c r="D430" s="19">
        <v>2017</v>
      </c>
      <c r="E430" s="19" t="s">
        <v>1776</v>
      </c>
      <c r="F430" s="19">
        <v>80090674</v>
      </c>
      <c r="G430" s="19" t="s">
        <v>1985</v>
      </c>
      <c r="H430" s="19" t="s">
        <v>1986</v>
      </c>
      <c r="I430" s="19" t="s">
        <v>31</v>
      </c>
      <c r="J430" s="20">
        <v>1</v>
      </c>
      <c r="K430" s="21">
        <v>43074</v>
      </c>
      <c r="L430" s="21">
        <v>43074</v>
      </c>
      <c r="M430" s="21">
        <v>43536</v>
      </c>
      <c r="N430" s="24" t="s">
        <v>2448</v>
      </c>
      <c r="O430" s="19" t="s">
        <v>557</v>
      </c>
      <c r="P430" s="19" t="s">
        <v>665</v>
      </c>
      <c r="Q430" s="19" t="s">
        <v>816</v>
      </c>
      <c r="R430" s="19" t="s">
        <v>591</v>
      </c>
      <c r="S430" s="19" t="s">
        <v>1987</v>
      </c>
      <c r="T430" t="s">
        <v>33</v>
      </c>
      <c r="U430" s="22">
        <v>8345.9699999999993</v>
      </c>
      <c r="V430" s="22">
        <v>0</v>
      </c>
      <c r="W430" s="22">
        <v>1237.3800000000001</v>
      </c>
      <c r="X430" s="22">
        <v>0</v>
      </c>
      <c r="Y430" s="22">
        <v>12180.39</v>
      </c>
      <c r="Z430" s="22">
        <v>0</v>
      </c>
      <c r="AA430" s="22">
        <v>0</v>
      </c>
      <c r="AB430" s="22">
        <v>0</v>
      </c>
      <c r="AC430" s="22">
        <v>0</v>
      </c>
      <c r="AD430" s="22">
        <v>0</v>
      </c>
      <c r="AE430" s="22">
        <v>21763.74</v>
      </c>
      <c r="AF430" s="22">
        <f t="shared" si="6"/>
        <v>21763.74</v>
      </c>
      <c r="AG430" s="22">
        <v>0</v>
      </c>
      <c r="AH430" s="22">
        <v>21763.74</v>
      </c>
      <c r="AI430" t="s">
        <v>562</v>
      </c>
      <c r="AJ430" t="s">
        <v>1306</v>
      </c>
    </row>
    <row r="431" spans="1:36" ht="43.5" outlineLevel="2" x14ac:dyDescent="0.35">
      <c r="A431" s="19" t="s">
        <v>551</v>
      </c>
      <c r="B431" s="19" t="s">
        <v>572</v>
      </c>
      <c r="C431" s="19" t="s">
        <v>573</v>
      </c>
      <c r="D431" s="19">
        <v>2017</v>
      </c>
      <c r="E431" s="19" t="s">
        <v>1776</v>
      </c>
      <c r="F431" s="19">
        <v>80090676</v>
      </c>
      <c r="G431" s="19" t="s">
        <v>1988</v>
      </c>
      <c r="H431" s="19" t="s">
        <v>1989</v>
      </c>
      <c r="I431" s="19" t="s">
        <v>31</v>
      </c>
      <c r="J431" s="20">
        <v>1</v>
      </c>
      <c r="K431" s="21">
        <v>43070</v>
      </c>
      <c r="L431" s="21">
        <v>43070</v>
      </c>
      <c r="M431" s="21">
        <v>44620</v>
      </c>
      <c r="N431" s="24" t="s">
        <v>2448</v>
      </c>
      <c r="O431" s="19" t="s">
        <v>557</v>
      </c>
      <c r="P431" s="19" t="s">
        <v>568</v>
      </c>
      <c r="Q431" s="19" t="s">
        <v>590</v>
      </c>
      <c r="R431" s="19" t="s">
        <v>591</v>
      </c>
      <c r="S431" s="19" t="s">
        <v>1990</v>
      </c>
      <c r="T431" t="s">
        <v>161</v>
      </c>
      <c r="U431" s="22">
        <v>33603.51</v>
      </c>
      <c r="V431" s="22">
        <v>0</v>
      </c>
      <c r="W431" s="22">
        <v>58721.21</v>
      </c>
      <c r="X431" s="22">
        <v>0</v>
      </c>
      <c r="Y431" s="22">
        <v>7192.9</v>
      </c>
      <c r="Z431" s="22">
        <v>0</v>
      </c>
      <c r="AA431" s="22">
        <v>0</v>
      </c>
      <c r="AB431" s="22">
        <v>-145.32</v>
      </c>
      <c r="AC431" s="22">
        <v>0</v>
      </c>
      <c r="AD431" s="22">
        <v>0</v>
      </c>
      <c r="AE431" s="22">
        <v>99517.62</v>
      </c>
      <c r="AF431" s="22">
        <f t="shared" si="6"/>
        <v>99372.299999999988</v>
      </c>
      <c r="AG431" s="22">
        <v>0</v>
      </c>
      <c r="AH431" s="22">
        <v>99372.3</v>
      </c>
      <c r="AI431" t="s">
        <v>562</v>
      </c>
      <c r="AJ431" t="s">
        <v>1306</v>
      </c>
    </row>
    <row r="432" spans="1:36" ht="58" outlineLevel="2" x14ac:dyDescent="0.35">
      <c r="A432" s="19" t="s">
        <v>551</v>
      </c>
      <c r="B432" s="19" t="s">
        <v>605</v>
      </c>
      <c r="C432" s="19" t="s">
        <v>606</v>
      </c>
      <c r="D432" s="19">
        <v>2017</v>
      </c>
      <c r="E432" s="19" t="s">
        <v>1776</v>
      </c>
      <c r="F432" s="19">
        <v>80090651</v>
      </c>
      <c r="G432" s="19" t="s">
        <v>1991</v>
      </c>
      <c r="H432" s="19" t="s">
        <v>1992</v>
      </c>
      <c r="I432" s="19" t="s">
        <v>31</v>
      </c>
      <c r="J432" s="20">
        <v>1</v>
      </c>
      <c r="K432" s="21">
        <v>43067</v>
      </c>
      <c r="L432" s="21">
        <v>43081</v>
      </c>
      <c r="M432" s="21">
        <v>43161</v>
      </c>
      <c r="N432" s="24" t="s">
        <v>2448</v>
      </c>
      <c r="O432" s="19" t="s">
        <v>557</v>
      </c>
      <c r="P432" s="19" t="s">
        <v>609</v>
      </c>
      <c r="Q432" s="19" t="s">
        <v>655</v>
      </c>
      <c r="R432" s="19" t="s">
        <v>616</v>
      </c>
      <c r="S432" s="19" t="s">
        <v>1993</v>
      </c>
      <c r="T432" t="s">
        <v>69</v>
      </c>
      <c r="U432" s="22">
        <v>0</v>
      </c>
      <c r="V432" s="22">
        <v>0</v>
      </c>
      <c r="W432" s="22">
        <v>588.91</v>
      </c>
      <c r="X432" s="22">
        <v>0</v>
      </c>
      <c r="Y432" s="22">
        <v>140.58000000000001</v>
      </c>
      <c r="Z432" s="22">
        <v>0</v>
      </c>
      <c r="AA432" s="22">
        <v>0</v>
      </c>
      <c r="AB432" s="22">
        <v>-64.09</v>
      </c>
      <c r="AC432" s="22">
        <v>0</v>
      </c>
      <c r="AD432" s="22">
        <v>0</v>
      </c>
      <c r="AE432" s="22">
        <v>729.49</v>
      </c>
      <c r="AF432" s="22">
        <f t="shared" si="6"/>
        <v>665.4</v>
      </c>
      <c r="AG432" s="22">
        <v>0</v>
      </c>
      <c r="AH432" s="22">
        <v>665.4</v>
      </c>
      <c r="AI432" t="s">
        <v>562</v>
      </c>
      <c r="AJ432" t="s">
        <v>1306</v>
      </c>
    </row>
    <row r="433" spans="1:36" ht="101.5" outlineLevel="2" x14ac:dyDescent="0.35">
      <c r="A433" s="19" t="s">
        <v>551</v>
      </c>
      <c r="B433" s="19" t="s">
        <v>636</v>
      </c>
      <c r="C433" s="19" t="s">
        <v>594</v>
      </c>
      <c r="D433" s="19">
        <v>2017</v>
      </c>
      <c r="E433" s="19" t="s">
        <v>1776</v>
      </c>
      <c r="F433" s="19">
        <v>80090673</v>
      </c>
      <c r="G433" s="19" t="s">
        <v>1994</v>
      </c>
      <c r="H433" s="19" t="s">
        <v>1995</v>
      </c>
      <c r="I433" s="19" t="s">
        <v>31</v>
      </c>
      <c r="J433" s="20">
        <v>1</v>
      </c>
      <c r="K433" s="21">
        <v>43053</v>
      </c>
      <c r="L433" s="21">
        <v>43067</v>
      </c>
      <c r="M433" s="21">
        <v>43138</v>
      </c>
      <c r="N433" s="24" t="s">
        <v>2448</v>
      </c>
      <c r="O433" s="19" t="s">
        <v>557</v>
      </c>
      <c r="P433" s="19" t="s">
        <v>609</v>
      </c>
      <c r="Q433" s="19" t="s">
        <v>1211</v>
      </c>
      <c r="R433" s="19" t="s">
        <v>616</v>
      </c>
      <c r="S433" s="19" t="s">
        <v>1996</v>
      </c>
      <c r="T433" t="s">
        <v>33</v>
      </c>
      <c r="U433" s="22">
        <v>0</v>
      </c>
      <c r="V433" s="22">
        <v>0</v>
      </c>
      <c r="W433" s="22">
        <v>181.63</v>
      </c>
      <c r="X433" s="22">
        <v>0</v>
      </c>
      <c r="Y433" s="22">
        <v>21.82</v>
      </c>
      <c r="Z433" s="22">
        <v>0</v>
      </c>
      <c r="AA433" s="22">
        <v>0</v>
      </c>
      <c r="AB433" s="22">
        <v>0</v>
      </c>
      <c r="AC433" s="22">
        <v>0</v>
      </c>
      <c r="AD433" s="22">
        <v>0</v>
      </c>
      <c r="AE433" s="22">
        <v>203.45</v>
      </c>
      <c r="AF433" s="22">
        <f t="shared" si="6"/>
        <v>203.45</v>
      </c>
      <c r="AG433" s="22">
        <v>0</v>
      </c>
      <c r="AH433" s="22">
        <v>203.45</v>
      </c>
      <c r="AI433" t="s">
        <v>562</v>
      </c>
      <c r="AJ433" t="s">
        <v>1306</v>
      </c>
    </row>
    <row r="434" spans="1:36" ht="58" outlineLevel="2" x14ac:dyDescent="0.35">
      <c r="A434" s="19" t="s">
        <v>551</v>
      </c>
      <c r="B434" s="19" t="s">
        <v>572</v>
      </c>
      <c r="C434" s="19" t="s">
        <v>573</v>
      </c>
      <c r="D434" s="19">
        <v>2017</v>
      </c>
      <c r="E434" s="19" t="s">
        <v>1776</v>
      </c>
      <c r="F434" s="19">
        <v>80090694</v>
      </c>
      <c r="G434" s="19" t="s">
        <v>1997</v>
      </c>
      <c r="H434" s="19" t="s">
        <v>1998</v>
      </c>
      <c r="I434" s="19" t="s">
        <v>31</v>
      </c>
      <c r="J434" s="20">
        <v>1</v>
      </c>
      <c r="K434" s="21">
        <v>43047</v>
      </c>
      <c r="L434" s="21">
        <v>43047</v>
      </c>
      <c r="M434" s="21">
        <v>44246</v>
      </c>
      <c r="N434" s="24" t="s">
        <v>2448</v>
      </c>
      <c r="O434" s="19" t="s">
        <v>557</v>
      </c>
      <c r="P434" s="19" t="s">
        <v>568</v>
      </c>
      <c r="Q434" s="19" t="s">
        <v>735</v>
      </c>
      <c r="R434" s="19" t="s">
        <v>591</v>
      </c>
      <c r="S434" s="19" t="s">
        <v>1999</v>
      </c>
      <c r="T434" t="s">
        <v>282</v>
      </c>
      <c r="U434" s="22">
        <v>13250</v>
      </c>
      <c r="V434" s="22">
        <v>0</v>
      </c>
      <c r="W434" s="22">
        <v>766.68</v>
      </c>
      <c r="X434" s="22">
        <v>0</v>
      </c>
      <c r="Y434" s="22">
        <v>6896.51</v>
      </c>
      <c r="Z434" s="22">
        <v>0</v>
      </c>
      <c r="AA434" s="22">
        <v>0</v>
      </c>
      <c r="AB434" s="22">
        <v>0</v>
      </c>
      <c r="AC434" s="22">
        <v>0</v>
      </c>
      <c r="AD434" s="22">
        <v>0</v>
      </c>
      <c r="AE434" s="22">
        <v>20913.189999999999</v>
      </c>
      <c r="AF434" s="22">
        <f t="shared" si="6"/>
        <v>20913.189999999999</v>
      </c>
      <c r="AG434" s="22">
        <v>0</v>
      </c>
      <c r="AH434" s="22">
        <v>20913.189999999999</v>
      </c>
      <c r="AI434" t="s">
        <v>562</v>
      </c>
      <c r="AJ434" t="s">
        <v>1306</v>
      </c>
    </row>
    <row r="435" spans="1:36" ht="43.5" outlineLevel="2" x14ac:dyDescent="0.35">
      <c r="A435" s="19" t="s">
        <v>551</v>
      </c>
      <c r="B435" s="19" t="s">
        <v>599</v>
      </c>
      <c r="C435" s="19" t="s">
        <v>600</v>
      </c>
      <c r="D435" s="19">
        <v>2017</v>
      </c>
      <c r="E435" s="19" t="s">
        <v>1776</v>
      </c>
      <c r="F435" s="19">
        <v>80090638</v>
      </c>
      <c r="G435" s="19" t="s">
        <v>2000</v>
      </c>
      <c r="H435" s="19" t="s">
        <v>2001</v>
      </c>
      <c r="I435" s="19" t="s">
        <v>31</v>
      </c>
      <c r="J435" s="20">
        <v>1</v>
      </c>
      <c r="K435" s="21">
        <v>43046</v>
      </c>
      <c r="L435" s="21">
        <v>43046</v>
      </c>
      <c r="M435" s="21">
        <v>43565</v>
      </c>
      <c r="N435" s="24" t="s">
        <v>2448</v>
      </c>
      <c r="O435" s="19" t="s">
        <v>603</v>
      </c>
      <c r="P435" s="19" t="s">
        <v>568</v>
      </c>
      <c r="Q435" s="19" t="s">
        <v>584</v>
      </c>
      <c r="R435" s="19" t="s">
        <v>570</v>
      </c>
      <c r="S435" s="19" t="s">
        <v>2002</v>
      </c>
      <c r="T435" t="s">
        <v>51</v>
      </c>
      <c r="U435" s="22">
        <v>0</v>
      </c>
      <c r="V435" s="22">
        <v>0</v>
      </c>
      <c r="W435" s="22">
        <v>1936.15</v>
      </c>
      <c r="X435" s="22">
        <v>0</v>
      </c>
      <c r="Y435" s="22">
        <v>135.59</v>
      </c>
      <c r="Z435" s="22">
        <v>0</v>
      </c>
      <c r="AA435" s="22">
        <v>0</v>
      </c>
      <c r="AB435" s="22">
        <v>0</v>
      </c>
      <c r="AC435" s="22">
        <v>0</v>
      </c>
      <c r="AD435" s="22">
        <v>0</v>
      </c>
      <c r="AE435" s="22">
        <v>2071.7399999999998</v>
      </c>
      <c r="AF435" s="22">
        <f t="shared" si="6"/>
        <v>2071.7399999999998</v>
      </c>
      <c r="AG435" s="22">
        <v>0</v>
      </c>
      <c r="AH435" s="22">
        <v>2071.7399999999998</v>
      </c>
      <c r="AI435" t="s">
        <v>562</v>
      </c>
      <c r="AJ435" t="s">
        <v>1306</v>
      </c>
    </row>
    <row r="436" spans="1:36" ht="87" outlineLevel="2" x14ac:dyDescent="0.35">
      <c r="A436" s="19" t="s">
        <v>551</v>
      </c>
      <c r="B436" s="19" t="s">
        <v>636</v>
      </c>
      <c r="C436" s="19" t="s">
        <v>594</v>
      </c>
      <c r="D436" s="19">
        <v>2017</v>
      </c>
      <c r="E436" s="19" t="s">
        <v>1776</v>
      </c>
      <c r="F436" s="19">
        <v>80090636</v>
      </c>
      <c r="G436" s="19" t="s">
        <v>2003</v>
      </c>
      <c r="H436" s="19" t="s">
        <v>2004</v>
      </c>
      <c r="I436" s="19" t="s">
        <v>31</v>
      </c>
      <c r="J436" s="20">
        <v>1</v>
      </c>
      <c r="K436" s="21">
        <v>43041</v>
      </c>
      <c r="L436" s="21">
        <v>43045</v>
      </c>
      <c r="M436" s="21">
        <v>43580</v>
      </c>
      <c r="N436" s="24" t="s">
        <v>2448</v>
      </c>
      <c r="O436" s="19" t="s">
        <v>557</v>
      </c>
      <c r="P436" s="19" t="s">
        <v>568</v>
      </c>
      <c r="Q436" s="19" t="s">
        <v>577</v>
      </c>
      <c r="R436" s="19" t="s">
        <v>708</v>
      </c>
      <c r="S436" s="19" t="s">
        <v>2005</v>
      </c>
      <c r="T436" t="s">
        <v>33</v>
      </c>
      <c r="U436" s="22">
        <v>475.26</v>
      </c>
      <c r="V436" s="22">
        <v>0</v>
      </c>
      <c r="W436" s="22">
        <v>1306.8699999999999</v>
      </c>
      <c r="X436" s="22">
        <v>0</v>
      </c>
      <c r="Y436" s="22">
        <v>57</v>
      </c>
      <c r="Z436" s="22">
        <v>0</v>
      </c>
      <c r="AA436" s="22">
        <v>0</v>
      </c>
      <c r="AB436" s="22">
        <v>0</v>
      </c>
      <c r="AC436" s="22">
        <v>0</v>
      </c>
      <c r="AD436" s="22">
        <v>0</v>
      </c>
      <c r="AE436" s="22">
        <v>1839.13</v>
      </c>
      <c r="AF436" s="22">
        <f t="shared" si="6"/>
        <v>1839.13</v>
      </c>
      <c r="AG436" s="22">
        <v>0</v>
      </c>
      <c r="AH436" s="22">
        <v>1839.13</v>
      </c>
      <c r="AI436" t="s">
        <v>562</v>
      </c>
      <c r="AJ436" t="s">
        <v>1306</v>
      </c>
    </row>
    <row r="437" spans="1:36" ht="58" outlineLevel="2" x14ac:dyDescent="0.35">
      <c r="A437" s="19" t="s">
        <v>551</v>
      </c>
      <c r="B437" s="19" t="s">
        <v>996</v>
      </c>
      <c r="C437" s="19" t="s">
        <v>997</v>
      </c>
      <c r="D437" s="19">
        <v>2017</v>
      </c>
      <c r="E437" s="19" t="s">
        <v>1776</v>
      </c>
      <c r="F437" s="19">
        <v>80090617</v>
      </c>
      <c r="G437" s="19" t="s">
        <v>2006</v>
      </c>
      <c r="H437" s="19" t="s">
        <v>2007</v>
      </c>
      <c r="I437" s="19" t="s">
        <v>31</v>
      </c>
      <c r="J437" s="20">
        <v>1</v>
      </c>
      <c r="K437" s="21">
        <v>43038</v>
      </c>
      <c r="L437" s="21">
        <v>43039</v>
      </c>
      <c r="M437" s="21">
        <v>43053</v>
      </c>
      <c r="N437" s="24" t="s">
        <v>2448</v>
      </c>
      <c r="O437" s="19" t="s">
        <v>557</v>
      </c>
      <c r="P437" s="19" t="s">
        <v>665</v>
      </c>
      <c r="Q437" s="19" t="s">
        <v>735</v>
      </c>
      <c r="R437" s="19" t="s">
        <v>570</v>
      </c>
      <c r="S437" s="19" t="s">
        <v>2008</v>
      </c>
      <c r="T437" t="s">
        <v>51</v>
      </c>
      <c r="U437" s="22">
        <v>0</v>
      </c>
      <c r="V437" s="22">
        <v>0</v>
      </c>
      <c r="W437" s="22">
        <v>374.49</v>
      </c>
      <c r="X437" s="22">
        <v>0</v>
      </c>
      <c r="Y437" s="22">
        <v>54.88</v>
      </c>
      <c r="Z437" s="22">
        <v>0</v>
      </c>
      <c r="AA437" s="22">
        <v>0</v>
      </c>
      <c r="AB437" s="22">
        <v>0</v>
      </c>
      <c r="AC437" s="22">
        <v>0</v>
      </c>
      <c r="AD437" s="22">
        <v>0</v>
      </c>
      <c r="AE437" s="22">
        <v>429.37</v>
      </c>
      <c r="AF437" s="22">
        <f t="shared" si="6"/>
        <v>429.37</v>
      </c>
      <c r="AG437" s="22">
        <v>0</v>
      </c>
      <c r="AH437" s="22">
        <v>429.37</v>
      </c>
      <c r="AI437" t="s">
        <v>562</v>
      </c>
      <c r="AJ437" t="s">
        <v>1306</v>
      </c>
    </row>
    <row r="438" spans="1:36" ht="58" outlineLevel="2" x14ac:dyDescent="0.35">
      <c r="A438" s="19" t="s">
        <v>551</v>
      </c>
      <c r="B438" s="19" t="s">
        <v>572</v>
      </c>
      <c r="C438" s="19" t="s">
        <v>573</v>
      </c>
      <c r="D438" s="19">
        <v>2017</v>
      </c>
      <c r="E438" s="19" t="s">
        <v>1776</v>
      </c>
      <c r="F438" s="19">
        <v>80090659</v>
      </c>
      <c r="G438" s="19" t="s">
        <v>2009</v>
      </c>
      <c r="H438" s="19" t="s">
        <v>2010</v>
      </c>
      <c r="I438" s="19" t="s">
        <v>31</v>
      </c>
      <c r="J438" s="20">
        <v>1</v>
      </c>
      <c r="K438" s="21">
        <v>43035</v>
      </c>
      <c r="L438" s="21">
        <v>43047</v>
      </c>
      <c r="M438" s="21">
        <v>43180</v>
      </c>
      <c r="N438" s="24" t="s">
        <v>2448</v>
      </c>
      <c r="O438" s="19" t="s">
        <v>557</v>
      </c>
      <c r="P438" s="19" t="s">
        <v>665</v>
      </c>
      <c r="Q438" s="19" t="s">
        <v>661</v>
      </c>
      <c r="R438" s="19" t="s">
        <v>570</v>
      </c>
      <c r="S438" s="19" t="s">
        <v>2011</v>
      </c>
      <c r="T438" t="s">
        <v>139</v>
      </c>
      <c r="U438" s="22">
        <v>1600</v>
      </c>
      <c r="V438" s="22">
        <v>0</v>
      </c>
      <c r="W438" s="22">
        <v>792.15</v>
      </c>
      <c r="X438" s="22">
        <v>0</v>
      </c>
      <c r="Y438" s="22">
        <v>51.43</v>
      </c>
      <c r="Z438" s="22">
        <v>0</v>
      </c>
      <c r="AA438" s="22">
        <v>0</v>
      </c>
      <c r="AB438" s="22">
        <v>-2.4300000000000002</v>
      </c>
      <c r="AC438" s="22">
        <v>0</v>
      </c>
      <c r="AD438" s="22">
        <v>0</v>
      </c>
      <c r="AE438" s="22">
        <v>2443.58</v>
      </c>
      <c r="AF438" s="22">
        <f t="shared" si="6"/>
        <v>2441.15</v>
      </c>
      <c r="AG438" s="22">
        <v>0</v>
      </c>
      <c r="AH438" s="22">
        <v>2441.15</v>
      </c>
      <c r="AI438" t="s">
        <v>562</v>
      </c>
      <c r="AJ438" t="s">
        <v>1306</v>
      </c>
    </row>
    <row r="439" spans="1:36" ht="58" outlineLevel="2" x14ac:dyDescent="0.35">
      <c r="A439" s="19" t="s">
        <v>551</v>
      </c>
      <c r="B439" s="19" t="s">
        <v>986</v>
      </c>
      <c r="C439" s="19" t="s">
        <v>553</v>
      </c>
      <c r="D439" s="19">
        <v>2017</v>
      </c>
      <c r="E439" s="19" t="s">
        <v>1776</v>
      </c>
      <c r="F439" s="19">
        <v>80090650</v>
      </c>
      <c r="G439" s="19" t="s">
        <v>2012</v>
      </c>
      <c r="H439" s="19" t="s">
        <v>2013</v>
      </c>
      <c r="I439" s="19" t="s">
        <v>31</v>
      </c>
      <c r="J439" s="20">
        <v>1</v>
      </c>
      <c r="K439" s="21">
        <v>43033</v>
      </c>
      <c r="L439" s="21">
        <v>43157</v>
      </c>
      <c r="M439" s="21">
        <v>43980</v>
      </c>
      <c r="N439" s="24" t="s">
        <v>2448</v>
      </c>
      <c r="O439" s="19" t="s">
        <v>557</v>
      </c>
      <c r="P439" s="19" t="s">
        <v>568</v>
      </c>
      <c r="Q439" s="19" t="s">
        <v>864</v>
      </c>
      <c r="R439" s="19" t="s">
        <v>570</v>
      </c>
      <c r="S439" s="19" t="s">
        <v>2014</v>
      </c>
      <c r="T439" t="s">
        <v>169</v>
      </c>
      <c r="U439" s="22">
        <v>0</v>
      </c>
      <c r="V439" s="22">
        <v>0</v>
      </c>
      <c r="W439" s="22">
        <v>0</v>
      </c>
      <c r="X439" s="22">
        <v>0</v>
      </c>
      <c r="Y439" s="22">
        <v>28.5</v>
      </c>
      <c r="Z439" s="22">
        <v>0</v>
      </c>
      <c r="AA439" s="22">
        <v>0</v>
      </c>
      <c r="AB439" s="22">
        <v>0</v>
      </c>
      <c r="AC439" s="22">
        <v>0</v>
      </c>
      <c r="AD439" s="22">
        <v>0</v>
      </c>
      <c r="AE439" s="22">
        <v>28.5</v>
      </c>
      <c r="AF439" s="22">
        <f t="shared" si="6"/>
        <v>28.5</v>
      </c>
      <c r="AG439" s="22">
        <v>0</v>
      </c>
      <c r="AH439" s="22">
        <v>28.5</v>
      </c>
      <c r="AI439" t="s">
        <v>562</v>
      </c>
      <c r="AJ439" t="s">
        <v>1306</v>
      </c>
    </row>
    <row r="440" spans="1:36" ht="58" outlineLevel="2" x14ac:dyDescent="0.35">
      <c r="A440" s="19" t="s">
        <v>551</v>
      </c>
      <c r="B440" s="19" t="s">
        <v>636</v>
      </c>
      <c r="C440" s="19" t="s">
        <v>594</v>
      </c>
      <c r="D440" s="19">
        <v>2017</v>
      </c>
      <c r="E440" s="19" t="s">
        <v>1776</v>
      </c>
      <c r="F440" s="19">
        <v>80090627</v>
      </c>
      <c r="G440" s="19" t="s">
        <v>2015</v>
      </c>
      <c r="H440" s="19" t="s">
        <v>2016</v>
      </c>
      <c r="I440" s="19" t="s">
        <v>31</v>
      </c>
      <c r="J440" s="20">
        <v>1</v>
      </c>
      <c r="K440" s="21">
        <v>43032</v>
      </c>
      <c r="L440" s="21">
        <v>43040</v>
      </c>
      <c r="M440" s="21">
        <v>43219</v>
      </c>
      <c r="N440" s="24" t="s">
        <v>2448</v>
      </c>
      <c r="O440" s="19" t="s">
        <v>557</v>
      </c>
      <c r="P440" s="19" t="s">
        <v>568</v>
      </c>
      <c r="Q440" s="19" t="s">
        <v>655</v>
      </c>
      <c r="R440" s="19" t="s">
        <v>578</v>
      </c>
      <c r="S440" s="19" t="s">
        <v>2017</v>
      </c>
      <c r="T440" t="s">
        <v>33</v>
      </c>
      <c r="U440" s="22">
        <v>0</v>
      </c>
      <c r="V440" s="22">
        <v>0</v>
      </c>
      <c r="W440" s="22">
        <v>174.78</v>
      </c>
      <c r="X440" s="22">
        <v>0</v>
      </c>
      <c r="Y440" s="22">
        <v>19</v>
      </c>
      <c r="Z440" s="22">
        <v>0</v>
      </c>
      <c r="AA440" s="22">
        <v>0</v>
      </c>
      <c r="AB440" s="22">
        <v>0</v>
      </c>
      <c r="AC440" s="22">
        <v>0</v>
      </c>
      <c r="AD440" s="22">
        <v>0</v>
      </c>
      <c r="AE440" s="22">
        <v>193.78</v>
      </c>
      <c r="AF440" s="22">
        <f t="shared" si="6"/>
        <v>193.78</v>
      </c>
      <c r="AG440" s="22">
        <v>0</v>
      </c>
      <c r="AH440" s="22">
        <v>193.78</v>
      </c>
      <c r="AI440" t="s">
        <v>562</v>
      </c>
      <c r="AJ440" t="s">
        <v>1306</v>
      </c>
    </row>
    <row r="441" spans="1:36" ht="58" outlineLevel="2" x14ac:dyDescent="0.35">
      <c r="A441" s="19" t="s">
        <v>551</v>
      </c>
      <c r="B441" s="19" t="s">
        <v>996</v>
      </c>
      <c r="C441" s="19" t="s">
        <v>997</v>
      </c>
      <c r="D441" s="19">
        <v>2017</v>
      </c>
      <c r="E441" s="19" t="s">
        <v>1776</v>
      </c>
      <c r="F441" s="19">
        <v>80090663</v>
      </c>
      <c r="G441" s="19" t="s">
        <v>2018</v>
      </c>
      <c r="H441" s="19" t="s">
        <v>2019</v>
      </c>
      <c r="I441" s="19" t="s">
        <v>31</v>
      </c>
      <c r="J441" s="20">
        <v>1</v>
      </c>
      <c r="K441" s="21">
        <v>43032</v>
      </c>
      <c r="L441" s="21">
        <v>43033</v>
      </c>
      <c r="M441" s="21">
        <v>43556</v>
      </c>
      <c r="N441" s="24" t="s">
        <v>2448</v>
      </c>
      <c r="O441" s="19" t="s">
        <v>557</v>
      </c>
      <c r="P441" s="19" t="s">
        <v>558</v>
      </c>
      <c r="Q441" s="19" t="s">
        <v>871</v>
      </c>
      <c r="R441" s="19" t="s">
        <v>616</v>
      </c>
      <c r="S441" s="19" t="s">
        <v>2020</v>
      </c>
      <c r="T441" t="s">
        <v>51</v>
      </c>
      <c r="U441" s="22">
        <v>0</v>
      </c>
      <c r="V441" s="22">
        <v>0</v>
      </c>
      <c r="W441" s="22">
        <v>548.91</v>
      </c>
      <c r="X441" s="22">
        <v>0</v>
      </c>
      <c r="Y441" s="22">
        <v>68.64</v>
      </c>
      <c r="Z441" s="22">
        <v>0</v>
      </c>
      <c r="AA441" s="22">
        <v>0</v>
      </c>
      <c r="AB441" s="22">
        <v>0</v>
      </c>
      <c r="AC441" s="22">
        <v>0</v>
      </c>
      <c r="AD441" s="22">
        <v>0</v>
      </c>
      <c r="AE441" s="22">
        <v>617.54999999999995</v>
      </c>
      <c r="AF441" s="22">
        <f t="shared" si="6"/>
        <v>617.54999999999995</v>
      </c>
      <c r="AG441" s="22">
        <v>0</v>
      </c>
      <c r="AH441" s="22">
        <v>617.54999999999995</v>
      </c>
      <c r="AI441" t="s">
        <v>562</v>
      </c>
      <c r="AJ441" t="s">
        <v>1306</v>
      </c>
    </row>
    <row r="442" spans="1:36" ht="29" outlineLevel="2" x14ac:dyDescent="0.35">
      <c r="A442" s="19" t="s">
        <v>551</v>
      </c>
      <c r="B442" s="19" t="s">
        <v>1001</v>
      </c>
      <c r="C442" s="19" t="s">
        <v>1002</v>
      </c>
      <c r="D442" s="19">
        <v>2017</v>
      </c>
      <c r="E442" s="19" t="s">
        <v>1776</v>
      </c>
      <c r="F442" s="19">
        <v>80090672</v>
      </c>
      <c r="G442" s="19" t="s">
        <v>2021</v>
      </c>
      <c r="H442" s="19" t="s">
        <v>2022</v>
      </c>
      <c r="I442" s="19" t="s">
        <v>31</v>
      </c>
      <c r="J442" s="20">
        <v>1</v>
      </c>
      <c r="K442" s="21">
        <v>43032</v>
      </c>
      <c r="L442" s="21">
        <v>43034</v>
      </c>
      <c r="M442" s="21">
        <v>43508</v>
      </c>
      <c r="N442" s="24" t="s">
        <v>2448</v>
      </c>
      <c r="O442" s="19" t="s">
        <v>557</v>
      </c>
      <c r="P442" s="19" t="s">
        <v>665</v>
      </c>
      <c r="Q442" s="19" t="s">
        <v>735</v>
      </c>
      <c r="R442" s="19" t="s">
        <v>650</v>
      </c>
      <c r="S442" s="19" t="s">
        <v>2023</v>
      </c>
      <c r="T442" t="s">
        <v>51</v>
      </c>
      <c r="U442" s="22">
        <v>5600.29</v>
      </c>
      <c r="V442" s="22">
        <v>0</v>
      </c>
      <c r="W442" s="22">
        <v>6922.97</v>
      </c>
      <c r="X442" s="22">
        <v>0</v>
      </c>
      <c r="Y442" s="22">
        <v>3047.2</v>
      </c>
      <c r="Z442" s="22">
        <v>0</v>
      </c>
      <c r="AA442" s="22">
        <v>0</v>
      </c>
      <c r="AB442" s="22">
        <v>0</v>
      </c>
      <c r="AC442" s="22">
        <v>0</v>
      </c>
      <c r="AD442" s="22">
        <v>0</v>
      </c>
      <c r="AE442" s="22">
        <v>15570.46</v>
      </c>
      <c r="AF442" s="22">
        <f t="shared" si="6"/>
        <v>15570.46</v>
      </c>
      <c r="AG442" s="22">
        <v>0</v>
      </c>
      <c r="AH442" s="22">
        <v>15570.46</v>
      </c>
      <c r="AI442" t="s">
        <v>562</v>
      </c>
      <c r="AJ442" t="s">
        <v>1306</v>
      </c>
    </row>
    <row r="443" spans="1:36" ht="43.5" outlineLevel="2" x14ac:dyDescent="0.35">
      <c r="A443" s="19" t="s">
        <v>551</v>
      </c>
      <c r="B443" s="19" t="s">
        <v>1001</v>
      </c>
      <c r="C443" s="19" t="s">
        <v>1002</v>
      </c>
      <c r="D443" s="19">
        <v>2017</v>
      </c>
      <c r="E443" s="19" t="s">
        <v>1776</v>
      </c>
      <c r="F443" s="19">
        <v>80090619</v>
      </c>
      <c r="G443" s="19" t="s">
        <v>2024</v>
      </c>
      <c r="H443" s="19" t="s">
        <v>2025</v>
      </c>
      <c r="I443" s="19" t="s">
        <v>31</v>
      </c>
      <c r="J443" s="20">
        <v>1</v>
      </c>
      <c r="K443" s="21">
        <v>43027</v>
      </c>
      <c r="L443" s="21">
        <v>43027</v>
      </c>
      <c r="M443" s="21">
        <v>43074</v>
      </c>
      <c r="N443" s="24" t="s">
        <v>2448</v>
      </c>
      <c r="O443" s="19" t="s">
        <v>557</v>
      </c>
      <c r="P443" s="19" t="s">
        <v>665</v>
      </c>
      <c r="Q443" s="19" t="s">
        <v>655</v>
      </c>
      <c r="R443" s="19" t="s">
        <v>708</v>
      </c>
      <c r="S443" s="19" t="s">
        <v>2026</v>
      </c>
      <c r="T443" t="s">
        <v>51</v>
      </c>
      <c r="U443" s="22">
        <v>0</v>
      </c>
      <c r="V443" s="22">
        <v>0</v>
      </c>
      <c r="W443" s="22">
        <v>496.93</v>
      </c>
      <c r="X443" s="22">
        <v>0</v>
      </c>
      <c r="Y443" s="22">
        <v>26.33</v>
      </c>
      <c r="Z443" s="22">
        <v>0</v>
      </c>
      <c r="AA443" s="22">
        <v>0</v>
      </c>
      <c r="AB443" s="22">
        <v>0</v>
      </c>
      <c r="AC443" s="22">
        <v>0</v>
      </c>
      <c r="AD443" s="22">
        <v>0</v>
      </c>
      <c r="AE443" s="22">
        <v>523.26</v>
      </c>
      <c r="AF443" s="22">
        <f t="shared" si="6"/>
        <v>523.26</v>
      </c>
      <c r="AG443" s="22">
        <v>0</v>
      </c>
      <c r="AH443" s="22">
        <v>523.26</v>
      </c>
      <c r="AI443" t="s">
        <v>562</v>
      </c>
      <c r="AJ443" t="s">
        <v>1306</v>
      </c>
    </row>
    <row r="444" spans="1:36" ht="43.5" outlineLevel="2" x14ac:dyDescent="0.35">
      <c r="A444" s="19" t="s">
        <v>551</v>
      </c>
      <c r="B444" s="19" t="s">
        <v>599</v>
      </c>
      <c r="C444" s="19" t="s">
        <v>600</v>
      </c>
      <c r="D444" s="19">
        <v>2017</v>
      </c>
      <c r="E444" s="19" t="s">
        <v>1776</v>
      </c>
      <c r="F444" s="19">
        <v>80090623</v>
      </c>
      <c r="G444" s="19" t="s">
        <v>2027</v>
      </c>
      <c r="H444" s="19" t="s">
        <v>2028</v>
      </c>
      <c r="I444" s="19" t="s">
        <v>31</v>
      </c>
      <c r="J444" s="20">
        <v>1</v>
      </c>
      <c r="K444" s="21">
        <v>43018</v>
      </c>
      <c r="L444" s="21">
        <v>43027</v>
      </c>
      <c r="M444" s="21">
        <v>45058</v>
      </c>
      <c r="N444" s="24" t="s">
        <v>2448</v>
      </c>
      <c r="O444" s="19" t="s">
        <v>557</v>
      </c>
      <c r="Q444" s="19" t="s">
        <v>666</v>
      </c>
      <c r="R444" s="19" t="s">
        <v>591</v>
      </c>
      <c r="S444" s="19" t="s">
        <v>2029</v>
      </c>
      <c r="T444" t="s">
        <v>51</v>
      </c>
      <c r="U444" s="22">
        <v>4500</v>
      </c>
      <c r="V444" s="22">
        <v>0</v>
      </c>
      <c r="W444" s="22">
        <v>17600</v>
      </c>
      <c r="X444" s="22">
        <v>0</v>
      </c>
      <c r="Y444" s="22">
        <v>12063.24</v>
      </c>
      <c r="Z444" s="22">
        <v>0</v>
      </c>
      <c r="AA444" s="22">
        <v>0</v>
      </c>
      <c r="AB444" s="22">
        <v>0</v>
      </c>
      <c r="AC444" s="22">
        <v>0</v>
      </c>
      <c r="AD444" s="22">
        <v>0</v>
      </c>
      <c r="AE444" s="22">
        <v>34163.24</v>
      </c>
      <c r="AF444" s="22">
        <f t="shared" si="6"/>
        <v>34163.24</v>
      </c>
      <c r="AG444" s="22">
        <v>0</v>
      </c>
      <c r="AH444" s="22">
        <v>34163.24</v>
      </c>
      <c r="AI444" t="s">
        <v>562</v>
      </c>
      <c r="AJ444" t="s">
        <v>1306</v>
      </c>
    </row>
    <row r="445" spans="1:36" ht="43.5" outlineLevel="2" x14ac:dyDescent="0.35">
      <c r="A445" s="19" t="s">
        <v>551</v>
      </c>
      <c r="B445" s="19" t="s">
        <v>572</v>
      </c>
      <c r="C445" s="19" t="s">
        <v>573</v>
      </c>
      <c r="D445" s="19">
        <v>2017</v>
      </c>
      <c r="E445" s="19" t="s">
        <v>1776</v>
      </c>
      <c r="F445" s="19">
        <v>80090652</v>
      </c>
      <c r="G445" s="19" t="s">
        <v>2030</v>
      </c>
      <c r="H445" s="19" t="s">
        <v>2031</v>
      </c>
      <c r="I445" s="19" t="s">
        <v>31</v>
      </c>
      <c r="J445" s="20">
        <v>1</v>
      </c>
      <c r="K445" s="21">
        <v>43018</v>
      </c>
      <c r="L445" s="21">
        <v>43041</v>
      </c>
      <c r="M445" s="21">
        <v>43300</v>
      </c>
      <c r="N445" s="24" t="s">
        <v>2448</v>
      </c>
      <c r="O445" s="19" t="s">
        <v>557</v>
      </c>
      <c r="P445" s="19" t="s">
        <v>558</v>
      </c>
      <c r="Q445" s="19" t="s">
        <v>735</v>
      </c>
      <c r="R445" s="19" t="s">
        <v>570</v>
      </c>
      <c r="S445" s="19" t="s">
        <v>2032</v>
      </c>
      <c r="T445" t="s">
        <v>139</v>
      </c>
      <c r="U445" s="22">
        <v>2304</v>
      </c>
      <c r="V445" s="22">
        <v>0</v>
      </c>
      <c r="W445" s="22">
        <v>0</v>
      </c>
      <c r="X445" s="22">
        <v>0</v>
      </c>
      <c r="Y445" s="22">
        <v>0</v>
      </c>
      <c r="Z445" s="22">
        <v>0</v>
      </c>
      <c r="AA445" s="22">
        <v>0</v>
      </c>
      <c r="AB445" s="22">
        <v>0</v>
      </c>
      <c r="AC445" s="22">
        <v>0</v>
      </c>
      <c r="AD445" s="22">
        <v>0</v>
      </c>
      <c r="AE445" s="22">
        <v>2304</v>
      </c>
      <c r="AF445" s="22">
        <f t="shared" si="6"/>
        <v>2304</v>
      </c>
      <c r="AG445" s="22">
        <v>0</v>
      </c>
      <c r="AH445" s="22">
        <v>2304</v>
      </c>
      <c r="AI445" t="s">
        <v>562</v>
      </c>
      <c r="AJ445" t="s">
        <v>1306</v>
      </c>
    </row>
    <row r="446" spans="1:36" ht="58" outlineLevel="2" x14ac:dyDescent="0.35">
      <c r="A446" s="19" t="s">
        <v>551</v>
      </c>
      <c r="B446" s="19" t="s">
        <v>658</v>
      </c>
      <c r="C446" s="19" t="s">
        <v>643</v>
      </c>
      <c r="D446" s="19">
        <v>2017</v>
      </c>
      <c r="E446" s="19" t="s">
        <v>1776</v>
      </c>
      <c r="F446" s="19">
        <v>80090655</v>
      </c>
      <c r="G446" s="19" t="s">
        <v>2033</v>
      </c>
      <c r="H446" s="19" t="s">
        <v>2034</v>
      </c>
      <c r="I446" s="19" t="s">
        <v>31</v>
      </c>
      <c r="J446" s="20">
        <v>1</v>
      </c>
      <c r="K446" s="21">
        <v>43000</v>
      </c>
      <c r="L446" s="21">
        <v>43004</v>
      </c>
      <c r="M446" s="21">
        <v>43082</v>
      </c>
      <c r="N446" s="24" t="s">
        <v>2448</v>
      </c>
      <c r="O446" s="19" t="s">
        <v>557</v>
      </c>
      <c r="P446" s="19" t="s">
        <v>568</v>
      </c>
      <c r="Q446" s="19" t="s">
        <v>569</v>
      </c>
      <c r="R446" s="19" t="s">
        <v>570</v>
      </c>
      <c r="S446" s="19" t="s">
        <v>2035</v>
      </c>
      <c r="T446" t="s">
        <v>62</v>
      </c>
      <c r="U446" s="22">
        <v>0</v>
      </c>
      <c r="V446" s="22">
        <v>0</v>
      </c>
      <c r="W446" s="22">
        <v>1581.52</v>
      </c>
      <c r="X446" s="22">
        <v>0</v>
      </c>
      <c r="Y446" s="22">
        <v>166.33</v>
      </c>
      <c r="Z446" s="22">
        <v>0</v>
      </c>
      <c r="AA446" s="22">
        <v>0</v>
      </c>
      <c r="AB446" s="22">
        <v>-33.57</v>
      </c>
      <c r="AC446" s="22">
        <v>0</v>
      </c>
      <c r="AD446" s="22">
        <v>0</v>
      </c>
      <c r="AE446" s="22">
        <v>1747.85</v>
      </c>
      <c r="AF446" s="22">
        <f t="shared" si="6"/>
        <v>1714.28</v>
      </c>
      <c r="AG446" s="22">
        <v>0</v>
      </c>
      <c r="AH446" s="22">
        <v>1714.28</v>
      </c>
      <c r="AI446" t="s">
        <v>562</v>
      </c>
      <c r="AJ446" t="s">
        <v>1306</v>
      </c>
    </row>
    <row r="447" spans="1:36" ht="101.5" outlineLevel="2" x14ac:dyDescent="0.35">
      <c r="A447" s="19" t="s">
        <v>551</v>
      </c>
      <c r="B447" s="19" t="s">
        <v>658</v>
      </c>
      <c r="C447" s="19" t="s">
        <v>643</v>
      </c>
      <c r="D447" s="19">
        <v>2017</v>
      </c>
      <c r="E447" s="19" t="s">
        <v>1776</v>
      </c>
      <c r="F447" s="19">
        <v>80090644</v>
      </c>
      <c r="G447" s="19" t="s">
        <v>2036</v>
      </c>
      <c r="H447" s="19" t="s">
        <v>2037</v>
      </c>
      <c r="I447" s="19" t="s">
        <v>31</v>
      </c>
      <c r="J447" s="20">
        <v>1</v>
      </c>
      <c r="K447" s="21">
        <v>42999</v>
      </c>
      <c r="L447" s="21">
        <v>42999</v>
      </c>
      <c r="M447" s="21">
        <v>43081</v>
      </c>
      <c r="N447" s="24" t="s">
        <v>2448</v>
      </c>
      <c r="O447" s="19" t="s">
        <v>557</v>
      </c>
      <c r="P447" s="19" t="s">
        <v>609</v>
      </c>
      <c r="Q447" s="19" t="s">
        <v>2038</v>
      </c>
      <c r="R447" s="19" t="s">
        <v>670</v>
      </c>
      <c r="S447" s="19" t="s">
        <v>2039</v>
      </c>
      <c r="T447" t="s">
        <v>62</v>
      </c>
      <c r="U447" s="22">
        <v>0</v>
      </c>
      <c r="V447" s="22">
        <v>0</v>
      </c>
      <c r="W447" s="22">
        <v>486.42</v>
      </c>
      <c r="X447" s="22">
        <v>0</v>
      </c>
      <c r="Y447" s="22">
        <v>64.17</v>
      </c>
      <c r="Z447" s="22">
        <v>0</v>
      </c>
      <c r="AA447" s="22">
        <v>0</v>
      </c>
      <c r="AB447" s="22">
        <v>0</v>
      </c>
      <c r="AC447" s="22">
        <v>0</v>
      </c>
      <c r="AD447" s="22">
        <v>0</v>
      </c>
      <c r="AE447" s="22">
        <v>550.59</v>
      </c>
      <c r="AF447" s="22">
        <f t="shared" si="6"/>
        <v>550.59</v>
      </c>
      <c r="AG447" s="22">
        <v>0</v>
      </c>
      <c r="AH447" s="22">
        <v>550.59</v>
      </c>
      <c r="AI447" t="s">
        <v>562</v>
      </c>
      <c r="AJ447" t="s">
        <v>1306</v>
      </c>
    </row>
    <row r="448" spans="1:36" ht="87" outlineLevel="2" x14ac:dyDescent="0.35">
      <c r="A448" s="19" t="s">
        <v>551</v>
      </c>
      <c r="B448" s="19" t="s">
        <v>572</v>
      </c>
      <c r="C448" s="19" t="s">
        <v>573</v>
      </c>
      <c r="D448" s="19">
        <v>2017</v>
      </c>
      <c r="E448" s="19" t="s">
        <v>1776</v>
      </c>
      <c r="F448" s="19">
        <v>80090616</v>
      </c>
      <c r="G448" s="19" t="s">
        <v>2040</v>
      </c>
      <c r="H448" s="19" t="s">
        <v>2041</v>
      </c>
      <c r="I448" s="19" t="s">
        <v>31</v>
      </c>
      <c r="J448" s="20">
        <v>1</v>
      </c>
      <c r="K448" s="21">
        <v>42991</v>
      </c>
      <c r="L448" s="21">
        <v>42992</v>
      </c>
      <c r="M448" s="21">
        <v>43012</v>
      </c>
      <c r="N448" s="24" t="s">
        <v>2448</v>
      </c>
      <c r="O448" s="19" t="s">
        <v>557</v>
      </c>
      <c r="P448" s="19" t="s">
        <v>576</v>
      </c>
      <c r="Q448" s="19" t="s">
        <v>577</v>
      </c>
      <c r="R448" s="19" t="s">
        <v>640</v>
      </c>
      <c r="S448" s="19" t="s">
        <v>2042</v>
      </c>
      <c r="T448" t="s">
        <v>139</v>
      </c>
      <c r="U448" s="22">
        <v>0</v>
      </c>
      <c r="V448" s="22">
        <v>0</v>
      </c>
      <c r="W448" s="22">
        <v>235.15</v>
      </c>
      <c r="X448" s="22">
        <v>0</v>
      </c>
      <c r="Y448" s="22">
        <v>90.9</v>
      </c>
      <c r="Z448" s="22">
        <v>0</v>
      </c>
      <c r="AA448" s="22">
        <v>0</v>
      </c>
      <c r="AB448" s="22">
        <v>0</v>
      </c>
      <c r="AC448" s="22">
        <v>0</v>
      </c>
      <c r="AD448" s="22">
        <v>0</v>
      </c>
      <c r="AE448" s="22">
        <v>326.05</v>
      </c>
      <c r="AF448" s="22">
        <f t="shared" si="6"/>
        <v>326.05</v>
      </c>
      <c r="AG448" s="22">
        <v>0</v>
      </c>
      <c r="AH448" s="22">
        <v>326.05</v>
      </c>
      <c r="AI448" t="s">
        <v>562</v>
      </c>
      <c r="AJ448" t="s">
        <v>1306</v>
      </c>
    </row>
    <row r="449" spans="1:36" ht="72.5" outlineLevel="2" x14ac:dyDescent="0.35">
      <c r="A449" s="19" t="s">
        <v>551</v>
      </c>
      <c r="B449" s="19" t="s">
        <v>996</v>
      </c>
      <c r="C449" s="19" t="s">
        <v>997</v>
      </c>
      <c r="D449" s="19">
        <v>2017</v>
      </c>
      <c r="E449" s="19" t="s">
        <v>1776</v>
      </c>
      <c r="F449" s="19">
        <v>80090640</v>
      </c>
      <c r="G449" s="19" t="s">
        <v>2043</v>
      </c>
      <c r="H449" s="19" t="s">
        <v>2044</v>
      </c>
      <c r="I449" s="19" t="s">
        <v>31</v>
      </c>
      <c r="J449" s="20">
        <v>1</v>
      </c>
      <c r="K449" s="21">
        <v>42989</v>
      </c>
      <c r="L449" s="21">
        <v>42989</v>
      </c>
      <c r="M449" s="21">
        <v>43034</v>
      </c>
      <c r="N449" s="24" t="s">
        <v>2448</v>
      </c>
      <c r="O449" s="19" t="s">
        <v>557</v>
      </c>
      <c r="P449" s="19" t="s">
        <v>568</v>
      </c>
      <c r="Q449" s="19" t="s">
        <v>577</v>
      </c>
      <c r="R449" s="19" t="s">
        <v>578</v>
      </c>
      <c r="S449" s="19" t="s">
        <v>2045</v>
      </c>
      <c r="T449" t="s">
        <v>51</v>
      </c>
      <c r="U449" s="22">
        <v>0</v>
      </c>
      <c r="V449" s="22">
        <v>0</v>
      </c>
      <c r="W449" s="22">
        <v>446.37</v>
      </c>
      <c r="X449" s="22">
        <v>0</v>
      </c>
      <c r="Y449" s="22">
        <v>31.05</v>
      </c>
      <c r="Z449" s="22">
        <v>0</v>
      </c>
      <c r="AA449" s="22">
        <v>0</v>
      </c>
      <c r="AB449" s="22">
        <v>0</v>
      </c>
      <c r="AC449" s="22">
        <v>0</v>
      </c>
      <c r="AD449" s="22">
        <v>0</v>
      </c>
      <c r="AE449" s="22">
        <v>477.42</v>
      </c>
      <c r="AF449" s="22">
        <f t="shared" si="6"/>
        <v>477.42</v>
      </c>
      <c r="AG449" s="22">
        <v>0</v>
      </c>
      <c r="AH449" s="22">
        <v>477.42</v>
      </c>
      <c r="AI449" t="s">
        <v>562</v>
      </c>
      <c r="AJ449" t="s">
        <v>1306</v>
      </c>
    </row>
    <row r="450" spans="1:36" ht="116" outlineLevel="2" x14ac:dyDescent="0.35">
      <c r="A450" s="19" t="s">
        <v>551</v>
      </c>
      <c r="B450" s="19" t="s">
        <v>1001</v>
      </c>
      <c r="C450" s="19" t="s">
        <v>1002</v>
      </c>
      <c r="D450" s="19">
        <v>2017</v>
      </c>
      <c r="E450" s="19" t="s">
        <v>1776</v>
      </c>
      <c r="F450" s="19">
        <v>80090614</v>
      </c>
      <c r="G450" s="19" t="s">
        <v>2046</v>
      </c>
      <c r="H450" s="19" t="s">
        <v>2047</v>
      </c>
      <c r="I450" s="19" t="s">
        <v>31</v>
      </c>
      <c r="J450" s="20">
        <v>1</v>
      </c>
      <c r="K450" s="21">
        <v>42985</v>
      </c>
      <c r="L450" s="21">
        <v>42986</v>
      </c>
      <c r="M450" s="21">
        <v>43048</v>
      </c>
      <c r="N450" s="24" t="s">
        <v>2448</v>
      </c>
      <c r="O450" s="19" t="s">
        <v>557</v>
      </c>
      <c r="P450" s="19" t="s">
        <v>665</v>
      </c>
      <c r="Q450" s="19" t="s">
        <v>735</v>
      </c>
      <c r="R450" s="19" t="s">
        <v>570</v>
      </c>
      <c r="S450" s="19" t="s">
        <v>2048</v>
      </c>
      <c r="T450" t="s">
        <v>51</v>
      </c>
      <c r="U450" s="22">
        <v>0</v>
      </c>
      <c r="V450" s="22">
        <v>0</v>
      </c>
      <c r="W450" s="22">
        <v>1197.6500000000001</v>
      </c>
      <c r="X450" s="22">
        <v>0</v>
      </c>
      <c r="Y450" s="22">
        <v>102.69</v>
      </c>
      <c r="Z450" s="22">
        <v>0</v>
      </c>
      <c r="AA450" s="22">
        <v>0</v>
      </c>
      <c r="AB450" s="22">
        <v>0</v>
      </c>
      <c r="AC450" s="22">
        <v>0</v>
      </c>
      <c r="AD450" s="22">
        <v>0</v>
      </c>
      <c r="AE450" s="22">
        <v>1300.3399999999999</v>
      </c>
      <c r="AF450" s="22">
        <f t="shared" si="6"/>
        <v>1300.3399999999999</v>
      </c>
      <c r="AG450" s="22">
        <v>0</v>
      </c>
      <c r="AH450" s="22">
        <v>1300.3399999999999</v>
      </c>
      <c r="AI450" t="s">
        <v>562</v>
      </c>
      <c r="AJ450" t="s">
        <v>1306</v>
      </c>
    </row>
    <row r="451" spans="1:36" ht="58" outlineLevel="2" x14ac:dyDescent="0.35">
      <c r="A451" s="19" t="s">
        <v>551</v>
      </c>
      <c r="B451" s="19" t="s">
        <v>996</v>
      </c>
      <c r="C451" s="19" t="s">
        <v>997</v>
      </c>
      <c r="D451" s="19">
        <v>2017</v>
      </c>
      <c r="E451" s="19" t="s">
        <v>1776</v>
      </c>
      <c r="F451" s="19">
        <v>80090628</v>
      </c>
      <c r="G451" s="19" t="s">
        <v>2049</v>
      </c>
      <c r="H451" s="19" t="s">
        <v>2050</v>
      </c>
      <c r="I451" s="19" t="s">
        <v>31</v>
      </c>
      <c r="J451" s="20">
        <v>1</v>
      </c>
      <c r="K451" s="21">
        <v>42984</v>
      </c>
      <c r="L451" s="21">
        <v>42984</v>
      </c>
      <c r="M451" s="21">
        <v>42999</v>
      </c>
      <c r="N451" s="24" t="s">
        <v>2448</v>
      </c>
      <c r="O451" s="19" t="s">
        <v>557</v>
      </c>
      <c r="P451" s="19" t="s">
        <v>568</v>
      </c>
      <c r="Q451" s="19" t="s">
        <v>577</v>
      </c>
      <c r="R451" s="19" t="s">
        <v>616</v>
      </c>
      <c r="S451" s="19" t="s">
        <v>2051</v>
      </c>
      <c r="T451" t="s">
        <v>51</v>
      </c>
      <c r="U451" s="22">
        <v>0</v>
      </c>
      <c r="V451" s="22">
        <v>0</v>
      </c>
      <c r="W451" s="22">
        <v>130.22999999999999</v>
      </c>
      <c r="X451" s="22">
        <v>0</v>
      </c>
      <c r="Y451" s="22">
        <v>10.199999999999999</v>
      </c>
      <c r="Z451" s="22">
        <v>0</v>
      </c>
      <c r="AA451" s="22">
        <v>0</v>
      </c>
      <c r="AB451" s="22">
        <v>0</v>
      </c>
      <c r="AC451" s="22">
        <v>0</v>
      </c>
      <c r="AD451" s="22">
        <v>0</v>
      </c>
      <c r="AE451" s="22">
        <v>140.43</v>
      </c>
      <c r="AF451" s="22">
        <f t="shared" ref="AF451:AF514" si="7">AE451+AA451+AB451+AC451</f>
        <v>140.43</v>
      </c>
      <c r="AG451" s="22">
        <v>0</v>
      </c>
      <c r="AH451" s="22">
        <v>140.43</v>
      </c>
      <c r="AI451" t="s">
        <v>562</v>
      </c>
      <c r="AJ451" t="s">
        <v>1306</v>
      </c>
    </row>
    <row r="452" spans="1:36" ht="58" outlineLevel="2" x14ac:dyDescent="0.35">
      <c r="A452" s="19" t="s">
        <v>551</v>
      </c>
      <c r="B452" s="19" t="s">
        <v>1258</v>
      </c>
      <c r="C452" s="19" t="s">
        <v>1259</v>
      </c>
      <c r="D452" s="19">
        <v>2017</v>
      </c>
      <c r="E452" s="19" t="s">
        <v>1776</v>
      </c>
      <c r="F452" s="19">
        <v>80090631</v>
      </c>
      <c r="G452" s="19" t="s">
        <v>2052</v>
      </c>
      <c r="H452" s="19" t="s">
        <v>2053</v>
      </c>
      <c r="I452" s="19" t="s">
        <v>31</v>
      </c>
      <c r="J452" s="20">
        <v>1</v>
      </c>
      <c r="K452" s="21">
        <v>42984</v>
      </c>
      <c r="L452" s="21">
        <v>42985</v>
      </c>
      <c r="M452" s="21">
        <v>43165</v>
      </c>
      <c r="N452" s="24" t="s">
        <v>2448</v>
      </c>
      <c r="O452" s="19" t="s">
        <v>557</v>
      </c>
      <c r="P452" s="19" t="s">
        <v>568</v>
      </c>
      <c r="Q452" s="19" t="s">
        <v>1728</v>
      </c>
      <c r="R452" s="19" t="s">
        <v>578</v>
      </c>
      <c r="S452" s="19" t="s">
        <v>2054</v>
      </c>
      <c r="T452" t="s">
        <v>69</v>
      </c>
      <c r="U452" s="22">
        <v>0</v>
      </c>
      <c r="V452" s="22">
        <v>0</v>
      </c>
      <c r="W452" s="22">
        <v>670.77</v>
      </c>
      <c r="X452" s="22">
        <v>0</v>
      </c>
      <c r="Y452" s="22">
        <v>37.35</v>
      </c>
      <c r="Z452" s="22">
        <v>0</v>
      </c>
      <c r="AA452" s="22">
        <v>0</v>
      </c>
      <c r="AB452" s="22">
        <v>0</v>
      </c>
      <c r="AC452" s="22">
        <v>0</v>
      </c>
      <c r="AD452" s="22">
        <v>0</v>
      </c>
      <c r="AE452" s="22">
        <v>708.12</v>
      </c>
      <c r="AF452" s="22">
        <f t="shared" si="7"/>
        <v>708.12</v>
      </c>
      <c r="AG452" s="22">
        <v>0</v>
      </c>
      <c r="AH452" s="22">
        <v>708.12</v>
      </c>
      <c r="AI452" t="s">
        <v>562</v>
      </c>
      <c r="AJ452" t="s">
        <v>1306</v>
      </c>
    </row>
    <row r="453" spans="1:36" ht="29" outlineLevel="2" x14ac:dyDescent="0.35">
      <c r="A453" s="19" t="s">
        <v>551</v>
      </c>
      <c r="B453" s="19" t="s">
        <v>2055</v>
      </c>
      <c r="C453" s="19" t="s">
        <v>2056</v>
      </c>
      <c r="D453" s="19">
        <v>2017</v>
      </c>
      <c r="E453" s="19" t="s">
        <v>1776</v>
      </c>
      <c r="F453" s="19">
        <v>80090657</v>
      </c>
      <c r="G453" s="19" t="s">
        <v>2057</v>
      </c>
      <c r="H453" s="19" t="s">
        <v>2058</v>
      </c>
      <c r="I453" s="19" t="s">
        <v>31</v>
      </c>
      <c r="J453" s="20">
        <v>1</v>
      </c>
      <c r="K453" s="21">
        <v>42978</v>
      </c>
      <c r="L453" s="21">
        <v>43046</v>
      </c>
      <c r="M453" s="21">
        <v>43059</v>
      </c>
      <c r="N453" s="24" t="s">
        <v>2448</v>
      </c>
      <c r="O453" s="19" t="s">
        <v>557</v>
      </c>
      <c r="P453" s="19" t="s">
        <v>665</v>
      </c>
      <c r="Q453" s="19" t="s">
        <v>569</v>
      </c>
      <c r="R453" s="19" t="s">
        <v>570</v>
      </c>
      <c r="S453" s="19" t="s">
        <v>2059</v>
      </c>
      <c r="T453" t="s">
        <v>51</v>
      </c>
      <c r="U453" s="22">
        <v>0</v>
      </c>
      <c r="V453" s="22">
        <v>0</v>
      </c>
      <c r="W453" s="22">
        <v>577.58000000000004</v>
      </c>
      <c r="X453" s="22">
        <v>0</v>
      </c>
      <c r="Y453" s="22">
        <v>27.52</v>
      </c>
      <c r="Z453" s="22">
        <v>0</v>
      </c>
      <c r="AA453" s="22">
        <v>0</v>
      </c>
      <c r="AB453" s="22">
        <v>0</v>
      </c>
      <c r="AC453" s="22">
        <v>0</v>
      </c>
      <c r="AD453" s="22">
        <v>0</v>
      </c>
      <c r="AE453" s="22">
        <v>605.1</v>
      </c>
      <c r="AF453" s="22">
        <f t="shared" si="7"/>
        <v>605.1</v>
      </c>
      <c r="AG453" s="22">
        <v>0</v>
      </c>
      <c r="AH453" s="22">
        <v>605.1</v>
      </c>
      <c r="AI453" t="s">
        <v>562</v>
      </c>
      <c r="AJ453" t="s">
        <v>1306</v>
      </c>
    </row>
    <row r="454" spans="1:36" ht="58" outlineLevel="2" x14ac:dyDescent="0.35">
      <c r="A454" s="19" t="s">
        <v>551</v>
      </c>
      <c r="B454" s="19" t="s">
        <v>599</v>
      </c>
      <c r="C454" s="19" t="s">
        <v>600</v>
      </c>
      <c r="D454" s="19">
        <v>2017</v>
      </c>
      <c r="E454" s="19" t="s">
        <v>1776</v>
      </c>
      <c r="F454" s="19">
        <v>80090618</v>
      </c>
      <c r="G454" s="19" t="s">
        <v>2060</v>
      </c>
      <c r="H454" s="19" t="s">
        <v>2061</v>
      </c>
      <c r="I454" s="19" t="s">
        <v>31</v>
      </c>
      <c r="J454" s="20">
        <v>1</v>
      </c>
      <c r="K454" s="21">
        <v>42977</v>
      </c>
      <c r="L454" s="21">
        <v>42977</v>
      </c>
      <c r="M454" s="21">
        <v>43007</v>
      </c>
      <c r="N454" s="24" t="s">
        <v>2448</v>
      </c>
      <c r="O454" s="19" t="s">
        <v>557</v>
      </c>
      <c r="P454" s="19" t="s">
        <v>568</v>
      </c>
      <c r="Q454" s="19" t="s">
        <v>735</v>
      </c>
      <c r="R454" s="19" t="s">
        <v>578</v>
      </c>
      <c r="S454" s="19" t="s">
        <v>2062</v>
      </c>
      <c r="T454" t="s">
        <v>51</v>
      </c>
      <c r="U454" s="22">
        <v>0</v>
      </c>
      <c r="V454" s="22">
        <v>0</v>
      </c>
      <c r="W454" s="22">
        <v>1057.24</v>
      </c>
      <c r="X454" s="22">
        <v>0</v>
      </c>
      <c r="Y454" s="22">
        <v>63.07</v>
      </c>
      <c r="Z454" s="22">
        <v>0</v>
      </c>
      <c r="AA454" s="22">
        <v>0</v>
      </c>
      <c r="AB454" s="22">
        <v>0</v>
      </c>
      <c r="AC454" s="22">
        <v>0</v>
      </c>
      <c r="AD454" s="22">
        <v>0</v>
      </c>
      <c r="AE454" s="22">
        <v>1120.31</v>
      </c>
      <c r="AF454" s="22">
        <f t="shared" si="7"/>
        <v>1120.31</v>
      </c>
      <c r="AG454" s="22">
        <v>0</v>
      </c>
      <c r="AH454" s="22">
        <v>1120.31</v>
      </c>
      <c r="AI454" t="s">
        <v>562</v>
      </c>
      <c r="AJ454" t="s">
        <v>1306</v>
      </c>
    </row>
    <row r="455" spans="1:36" ht="101.5" outlineLevel="2" x14ac:dyDescent="0.35">
      <c r="A455" s="19" t="s">
        <v>551</v>
      </c>
      <c r="B455" s="19" t="s">
        <v>658</v>
      </c>
      <c r="C455" s="19" t="s">
        <v>643</v>
      </c>
      <c r="D455" s="19">
        <v>2017</v>
      </c>
      <c r="E455" s="19" t="s">
        <v>1776</v>
      </c>
      <c r="F455" s="19">
        <v>80090629</v>
      </c>
      <c r="G455" s="19" t="s">
        <v>2063</v>
      </c>
      <c r="H455" s="19" t="s">
        <v>2064</v>
      </c>
      <c r="I455" s="19" t="s">
        <v>31</v>
      </c>
      <c r="J455" s="20">
        <v>1</v>
      </c>
      <c r="K455" s="21">
        <v>42974</v>
      </c>
      <c r="L455" s="21">
        <v>42990</v>
      </c>
      <c r="M455" s="21">
        <v>43161</v>
      </c>
      <c r="N455" s="24" t="s">
        <v>2448</v>
      </c>
      <c r="O455" s="19" t="s">
        <v>557</v>
      </c>
      <c r="P455" s="19" t="s">
        <v>609</v>
      </c>
      <c r="Q455" s="19" t="s">
        <v>704</v>
      </c>
      <c r="R455" s="19" t="s">
        <v>616</v>
      </c>
      <c r="S455" s="19" t="s">
        <v>2065</v>
      </c>
      <c r="T455" t="s">
        <v>62</v>
      </c>
      <c r="U455" s="22">
        <v>0</v>
      </c>
      <c r="V455" s="22">
        <v>0</v>
      </c>
      <c r="W455" s="22">
        <v>779.45</v>
      </c>
      <c r="X455" s="22">
        <v>0</v>
      </c>
      <c r="Y455" s="22">
        <v>128.47999999999999</v>
      </c>
      <c r="Z455" s="22">
        <v>0</v>
      </c>
      <c r="AA455" s="22">
        <v>0</v>
      </c>
      <c r="AB455" s="22">
        <v>-50.5</v>
      </c>
      <c r="AC455" s="22">
        <v>0</v>
      </c>
      <c r="AD455" s="22">
        <v>0</v>
      </c>
      <c r="AE455" s="22">
        <v>907.93</v>
      </c>
      <c r="AF455" s="22">
        <f t="shared" si="7"/>
        <v>857.43</v>
      </c>
      <c r="AG455" s="22">
        <v>0</v>
      </c>
      <c r="AH455" s="22">
        <v>857.43</v>
      </c>
      <c r="AI455" t="s">
        <v>562</v>
      </c>
      <c r="AJ455" t="s">
        <v>1306</v>
      </c>
    </row>
    <row r="456" spans="1:36" ht="87" outlineLevel="2" x14ac:dyDescent="0.35">
      <c r="A456" s="19" t="s">
        <v>551</v>
      </c>
      <c r="B456" s="19" t="s">
        <v>996</v>
      </c>
      <c r="C456" s="19" t="s">
        <v>997</v>
      </c>
      <c r="D456" s="19">
        <v>2017</v>
      </c>
      <c r="E456" s="19" t="s">
        <v>1776</v>
      </c>
      <c r="F456" s="19">
        <v>80090606</v>
      </c>
      <c r="G456" s="19" t="s">
        <v>2066</v>
      </c>
      <c r="H456" s="19" t="s">
        <v>2067</v>
      </c>
      <c r="I456" s="19" t="s">
        <v>31</v>
      </c>
      <c r="J456" s="20">
        <v>1</v>
      </c>
      <c r="K456" s="21">
        <v>42972</v>
      </c>
      <c r="L456" s="21">
        <v>42975</v>
      </c>
      <c r="M456" s="21">
        <v>43004</v>
      </c>
      <c r="N456" s="24" t="s">
        <v>2448</v>
      </c>
      <c r="O456" s="19" t="s">
        <v>557</v>
      </c>
      <c r="P456" s="19" t="s">
        <v>609</v>
      </c>
      <c r="Q456" s="19" t="s">
        <v>735</v>
      </c>
      <c r="R456" s="19" t="s">
        <v>570</v>
      </c>
      <c r="S456" s="19" t="s">
        <v>2068</v>
      </c>
      <c r="T456" t="s">
        <v>51</v>
      </c>
      <c r="U456" s="22">
        <v>0</v>
      </c>
      <c r="V456" s="22">
        <v>0</v>
      </c>
      <c r="W456" s="22">
        <v>1395.14</v>
      </c>
      <c r="X456" s="22">
        <v>0</v>
      </c>
      <c r="Y456" s="22">
        <v>122.5</v>
      </c>
      <c r="Z456" s="22">
        <v>0</v>
      </c>
      <c r="AA456" s="22">
        <v>0</v>
      </c>
      <c r="AB456" s="22">
        <v>0</v>
      </c>
      <c r="AC456" s="22">
        <v>0</v>
      </c>
      <c r="AD456" s="22">
        <v>0</v>
      </c>
      <c r="AE456" s="22">
        <v>1517.64</v>
      </c>
      <c r="AF456" s="22">
        <f t="shared" si="7"/>
        <v>1517.64</v>
      </c>
      <c r="AG456" s="22">
        <v>0</v>
      </c>
      <c r="AH456" s="22">
        <v>1517.64</v>
      </c>
      <c r="AI456" t="s">
        <v>562</v>
      </c>
      <c r="AJ456" t="s">
        <v>1306</v>
      </c>
    </row>
    <row r="457" spans="1:36" ht="58" outlineLevel="2" x14ac:dyDescent="0.35">
      <c r="A457" s="19" t="s">
        <v>551</v>
      </c>
      <c r="B457" s="19" t="s">
        <v>996</v>
      </c>
      <c r="C457" s="19" t="s">
        <v>997</v>
      </c>
      <c r="D457" s="19">
        <v>2017</v>
      </c>
      <c r="E457" s="19" t="s">
        <v>1776</v>
      </c>
      <c r="F457" s="19">
        <v>80090635</v>
      </c>
      <c r="G457" s="19" t="s">
        <v>2069</v>
      </c>
      <c r="H457" s="19" t="s">
        <v>2070</v>
      </c>
      <c r="I457" s="19" t="s">
        <v>31</v>
      </c>
      <c r="J457" s="20">
        <v>1</v>
      </c>
      <c r="K457" s="21">
        <v>42969</v>
      </c>
      <c r="L457" s="21">
        <v>42969</v>
      </c>
      <c r="M457" s="21">
        <v>43110</v>
      </c>
      <c r="N457" s="24" t="s">
        <v>2448</v>
      </c>
      <c r="O457" s="19" t="s">
        <v>557</v>
      </c>
      <c r="P457" s="19" t="s">
        <v>609</v>
      </c>
      <c r="Q457" s="19" t="s">
        <v>735</v>
      </c>
      <c r="R457" s="19" t="s">
        <v>591</v>
      </c>
      <c r="S457" s="19" t="s">
        <v>2071</v>
      </c>
      <c r="T457" t="s">
        <v>51</v>
      </c>
      <c r="U457" s="22">
        <v>927.49</v>
      </c>
      <c r="V457" s="22">
        <v>0</v>
      </c>
      <c r="W457" s="22">
        <v>2062.73</v>
      </c>
      <c r="X457" s="22">
        <v>0</v>
      </c>
      <c r="Y457" s="22">
        <v>380.78</v>
      </c>
      <c r="Z457" s="22">
        <v>0</v>
      </c>
      <c r="AA457" s="22">
        <v>0</v>
      </c>
      <c r="AB457" s="22">
        <v>-20.3</v>
      </c>
      <c r="AC457" s="22">
        <v>0</v>
      </c>
      <c r="AD457" s="22">
        <v>0</v>
      </c>
      <c r="AE457" s="22">
        <v>3371</v>
      </c>
      <c r="AF457" s="22">
        <f t="shared" si="7"/>
        <v>3350.7</v>
      </c>
      <c r="AG457" s="22">
        <v>0</v>
      </c>
      <c r="AH457" s="22">
        <v>3350.7</v>
      </c>
      <c r="AI457" t="s">
        <v>562</v>
      </c>
      <c r="AJ457" t="s">
        <v>1306</v>
      </c>
    </row>
    <row r="458" spans="1:36" ht="58" outlineLevel="2" x14ac:dyDescent="0.35">
      <c r="A458" s="19" t="s">
        <v>551</v>
      </c>
      <c r="B458" s="19" t="s">
        <v>740</v>
      </c>
      <c r="C458" s="19" t="s">
        <v>741</v>
      </c>
      <c r="D458" s="19">
        <v>2017</v>
      </c>
      <c r="E458" s="19" t="s">
        <v>1776</v>
      </c>
      <c r="F458" s="19">
        <v>80090632</v>
      </c>
      <c r="G458" s="19" t="s">
        <v>2072</v>
      </c>
      <c r="H458" s="19" t="s">
        <v>2073</v>
      </c>
      <c r="I458" s="19" t="s">
        <v>31</v>
      </c>
      <c r="J458" s="20">
        <v>1</v>
      </c>
      <c r="K458" s="21">
        <v>42966</v>
      </c>
      <c r="L458" s="21">
        <v>43041</v>
      </c>
      <c r="M458" s="21">
        <v>43060</v>
      </c>
      <c r="N458" s="24" t="s">
        <v>2448</v>
      </c>
      <c r="O458" s="19" t="s">
        <v>557</v>
      </c>
      <c r="P458" s="19" t="s">
        <v>568</v>
      </c>
      <c r="Q458" s="19" t="s">
        <v>655</v>
      </c>
      <c r="R458" s="19" t="s">
        <v>578</v>
      </c>
      <c r="S458" s="19" t="s">
        <v>2074</v>
      </c>
      <c r="T458" t="s">
        <v>45</v>
      </c>
      <c r="U458" s="22">
        <v>0</v>
      </c>
      <c r="V458" s="22">
        <v>0</v>
      </c>
      <c r="W458" s="22">
        <v>354.87</v>
      </c>
      <c r="X458" s="22">
        <v>0</v>
      </c>
      <c r="Y458" s="22">
        <v>14.73</v>
      </c>
      <c r="Z458" s="22">
        <v>0</v>
      </c>
      <c r="AA458" s="22">
        <v>0</v>
      </c>
      <c r="AB458" s="22">
        <v>0</v>
      </c>
      <c r="AC458" s="22">
        <v>0</v>
      </c>
      <c r="AD458" s="22">
        <v>0</v>
      </c>
      <c r="AE458" s="22">
        <v>369.6</v>
      </c>
      <c r="AF458" s="22">
        <f t="shared" si="7"/>
        <v>369.6</v>
      </c>
      <c r="AG458" s="22">
        <v>0</v>
      </c>
      <c r="AH458" s="22">
        <v>369.6</v>
      </c>
      <c r="AI458" t="s">
        <v>562</v>
      </c>
      <c r="AJ458" t="s">
        <v>1306</v>
      </c>
    </row>
    <row r="459" spans="1:36" ht="87" outlineLevel="2" x14ac:dyDescent="0.35">
      <c r="A459" s="19" t="s">
        <v>551</v>
      </c>
      <c r="B459" s="19" t="s">
        <v>1001</v>
      </c>
      <c r="C459" s="19" t="s">
        <v>1002</v>
      </c>
      <c r="D459" s="19">
        <v>2017</v>
      </c>
      <c r="E459" s="19" t="s">
        <v>1776</v>
      </c>
      <c r="F459" s="19">
        <v>80090626</v>
      </c>
      <c r="G459" s="19" t="s">
        <v>2075</v>
      </c>
      <c r="H459" s="19" t="s">
        <v>2076</v>
      </c>
      <c r="I459" s="19" t="s">
        <v>31</v>
      </c>
      <c r="J459" s="20">
        <v>1</v>
      </c>
      <c r="K459" s="21">
        <v>42963</v>
      </c>
      <c r="L459" s="21">
        <v>42964</v>
      </c>
      <c r="M459" s="21">
        <v>43010</v>
      </c>
      <c r="N459" s="24" t="s">
        <v>2448</v>
      </c>
      <c r="O459" s="19" t="s">
        <v>557</v>
      </c>
      <c r="P459" s="19" t="s">
        <v>576</v>
      </c>
      <c r="Q459" s="19" t="s">
        <v>634</v>
      </c>
      <c r="R459" s="19" t="s">
        <v>616</v>
      </c>
      <c r="S459" s="19" t="s">
        <v>2077</v>
      </c>
      <c r="T459" t="s">
        <v>51</v>
      </c>
      <c r="U459" s="22">
        <v>0</v>
      </c>
      <c r="V459" s="22">
        <v>0</v>
      </c>
      <c r="W459" s="22">
        <v>236.99</v>
      </c>
      <c r="X459" s="22">
        <v>0</v>
      </c>
      <c r="Y459" s="22">
        <v>40.35</v>
      </c>
      <c r="Z459" s="22">
        <v>0</v>
      </c>
      <c r="AA459" s="22">
        <v>0</v>
      </c>
      <c r="AB459" s="22">
        <v>0</v>
      </c>
      <c r="AC459" s="22">
        <v>0</v>
      </c>
      <c r="AD459" s="22">
        <v>0</v>
      </c>
      <c r="AE459" s="22">
        <v>277.33999999999997</v>
      </c>
      <c r="AF459" s="22">
        <f t="shared" si="7"/>
        <v>277.33999999999997</v>
      </c>
      <c r="AG459" s="22">
        <v>0</v>
      </c>
      <c r="AH459" s="22">
        <v>277.33999999999997</v>
      </c>
      <c r="AI459" t="s">
        <v>562</v>
      </c>
      <c r="AJ459" t="s">
        <v>1306</v>
      </c>
    </row>
    <row r="460" spans="1:36" ht="72.5" outlineLevel="2" x14ac:dyDescent="0.35">
      <c r="A460" s="19" t="s">
        <v>551</v>
      </c>
      <c r="B460" s="19" t="s">
        <v>636</v>
      </c>
      <c r="C460" s="19" t="s">
        <v>594</v>
      </c>
      <c r="D460" s="19">
        <v>2017</v>
      </c>
      <c r="E460" s="19" t="s">
        <v>1776</v>
      </c>
      <c r="F460" s="19">
        <v>80090601</v>
      </c>
      <c r="G460" s="19" t="s">
        <v>2078</v>
      </c>
      <c r="H460" s="19" t="s">
        <v>2079</v>
      </c>
      <c r="I460" s="19" t="s">
        <v>31</v>
      </c>
      <c r="J460" s="20">
        <v>1</v>
      </c>
      <c r="K460" s="21">
        <v>42961</v>
      </c>
      <c r="L460" s="21">
        <v>42961</v>
      </c>
      <c r="M460" s="21">
        <v>43628</v>
      </c>
      <c r="N460" s="24" t="s">
        <v>2448</v>
      </c>
      <c r="O460" s="19" t="s">
        <v>557</v>
      </c>
      <c r="P460" s="19" t="s">
        <v>665</v>
      </c>
      <c r="Q460" s="19" t="s">
        <v>597</v>
      </c>
      <c r="R460" s="19" t="s">
        <v>591</v>
      </c>
      <c r="S460" s="19" t="s">
        <v>2080</v>
      </c>
      <c r="T460" t="s">
        <v>33</v>
      </c>
      <c r="U460" s="22">
        <v>11527.81</v>
      </c>
      <c r="V460" s="22">
        <v>0</v>
      </c>
      <c r="W460" s="22">
        <v>3244.29</v>
      </c>
      <c r="X460" s="22">
        <v>0</v>
      </c>
      <c r="Y460" s="22">
        <v>14722.62</v>
      </c>
      <c r="Z460" s="22">
        <v>0</v>
      </c>
      <c r="AA460" s="22">
        <v>0</v>
      </c>
      <c r="AB460" s="22">
        <v>0</v>
      </c>
      <c r="AC460" s="22">
        <v>0</v>
      </c>
      <c r="AD460" s="22">
        <v>0</v>
      </c>
      <c r="AE460" s="22">
        <v>29494.720000000001</v>
      </c>
      <c r="AF460" s="22">
        <f t="shared" si="7"/>
        <v>29494.720000000001</v>
      </c>
      <c r="AG460" s="22">
        <v>0</v>
      </c>
      <c r="AH460" s="22">
        <v>29494.720000000001</v>
      </c>
      <c r="AI460" t="s">
        <v>562</v>
      </c>
      <c r="AJ460" t="s">
        <v>1306</v>
      </c>
    </row>
    <row r="461" spans="1:36" ht="58" outlineLevel="2" x14ac:dyDescent="0.35">
      <c r="A461" s="19" t="s">
        <v>551</v>
      </c>
      <c r="B461" s="19" t="s">
        <v>2081</v>
      </c>
      <c r="C461" s="19" t="s">
        <v>2082</v>
      </c>
      <c r="D461" s="19">
        <v>2017</v>
      </c>
      <c r="E461" s="19" t="s">
        <v>1776</v>
      </c>
      <c r="F461" s="19">
        <v>80090622</v>
      </c>
      <c r="G461" s="19" t="s">
        <v>2083</v>
      </c>
      <c r="H461" s="19" t="s">
        <v>2084</v>
      </c>
      <c r="I461" s="19" t="s">
        <v>31</v>
      </c>
      <c r="J461" s="20">
        <v>1</v>
      </c>
      <c r="K461" s="21">
        <v>42961</v>
      </c>
      <c r="L461" s="21">
        <v>42961</v>
      </c>
      <c r="M461" s="21">
        <v>43062</v>
      </c>
      <c r="N461" s="24" t="s">
        <v>2448</v>
      </c>
      <c r="O461" s="19" t="s">
        <v>557</v>
      </c>
      <c r="P461" s="19" t="s">
        <v>568</v>
      </c>
      <c r="Q461" s="19" t="s">
        <v>569</v>
      </c>
      <c r="R461" s="19" t="s">
        <v>591</v>
      </c>
      <c r="S461" s="19" t="s">
        <v>2085</v>
      </c>
      <c r="T461" t="s">
        <v>51</v>
      </c>
      <c r="U461" s="22">
        <v>0</v>
      </c>
      <c r="V461" s="22">
        <v>0</v>
      </c>
      <c r="W461" s="22">
        <v>1630.84</v>
      </c>
      <c r="X461" s="22">
        <v>0</v>
      </c>
      <c r="Y461" s="22">
        <v>94.28</v>
      </c>
      <c r="Z461" s="22">
        <v>0</v>
      </c>
      <c r="AA461" s="22">
        <v>0</v>
      </c>
      <c r="AB461" s="22">
        <v>0</v>
      </c>
      <c r="AC461" s="22">
        <v>0</v>
      </c>
      <c r="AD461" s="22">
        <v>0</v>
      </c>
      <c r="AE461" s="22">
        <v>1725.12</v>
      </c>
      <c r="AF461" s="22">
        <f t="shared" si="7"/>
        <v>1725.12</v>
      </c>
      <c r="AG461" s="22">
        <v>0</v>
      </c>
      <c r="AH461" s="22">
        <v>1725.12</v>
      </c>
      <c r="AI461" t="s">
        <v>562</v>
      </c>
      <c r="AJ461" t="s">
        <v>1306</v>
      </c>
    </row>
    <row r="462" spans="1:36" ht="43.5" outlineLevel="2" x14ac:dyDescent="0.35">
      <c r="A462" s="19" t="s">
        <v>551</v>
      </c>
      <c r="B462" s="19" t="s">
        <v>636</v>
      </c>
      <c r="C462" s="19" t="s">
        <v>594</v>
      </c>
      <c r="D462" s="19">
        <v>2017</v>
      </c>
      <c r="E462" s="19" t="s">
        <v>1776</v>
      </c>
      <c r="F462" s="19">
        <v>80090633</v>
      </c>
      <c r="G462" s="19" t="s">
        <v>2086</v>
      </c>
      <c r="H462" s="19" t="s">
        <v>2087</v>
      </c>
      <c r="I462" s="19" t="s">
        <v>31</v>
      </c>
      <c r="J462" s="20">
        <v>1</v>
      </c>
      <c r="K462" s="21">
        <v>42961</v>
      </c>
      <c r="L462" s="21">
        <v>42965</v>
      </c>
      <c r="M462" s="21">
        <v>43045</v>
      </c>
      <c r="N462" s="24" t="s">
        <v>2448</v>
      </c>
      <c r="O462" s="19" t="s">
        <v>557</v>
      </c>
      <c r="P462" s="19" t="s">
        <v>665</v>
      </c>
      <c r="Q462" s="19" t="s">
        <v>597</v>
      </c>
      <c r="R462" s="19" t="s">
        <v>570</v>
      </c>
      <c r="S462" s="19" t="s">
        <v>2088</v>
      </c>
      <c r="T462" t="s">
        <v>33</v>
      </c>
      <c r="U462" s="22">
        <v>100</v>
      </c>
      <c r="V462" s="22">
        <v>0</v>
      </c>
      <c r="W462" s="22">
        <v>0</v>
      </c>
      <c r="X462" s="22">
        <v>0</v>
      </c>
      <c r="Y462" s="22">
        <v>0</v>
      </c>
      <c r="Z462" s="22">
        <v>0</v>
      </c>
      <c r="AA462" s="22">
        <v>0</v>
      </c>
      <c r="AB462" s="22">
        <v>0</v>
      </c>
      <c r="AC462" s="22">
        <v>0</v>
      </c>
      <c r="AD462" s="22">
        <v>0</v>
      </c>
      <c r="AE462" s="22">
        <v>100</v>
      </c>
      <c r="AF462" s="22">
        <f t="shared" si="7"/>
        <v>100</v>
      </c>
      <c r="AG462" s="22">
        <v>0</v>
      </c>
      <c r="AH462" s="22">
        <v>100</v>
      </c>
      <c r="AI462" t="s">
        <v>562</v>
      </c>
      <c r="AJ462" t="s">
        <v>1306</v>
      </c>
    </row>
    <row r="463" spans="1:36" ht="72.5" outlineLevel="2" x14ac:dyDescent="0.35">
      <c r="A463" s="19" t="s">
        <v>551</v>
      </c>
      <c r="B463" s="19" t="s">
        <v>1001</v>
      </c>
      <c r="C463" s="19" t="s">
        <v>1002</v>
      </c>
      <c r="D463" s="19">
        <v>2017</v>
      </c>
      <c r="E463" s="19" t="s">
        <v>1776</v>
      </c>
      <c r="F463" s="19">
        <v>80090620</v>
      </c>
      <c r="G463" s="19" t="s">
        <v>2089</v>
      </c>
      <c r="H463" s="19" t="s">
        <v>2090</v>
      </c>
      <c r="I463" s="19" t="s">
        <v>31</v>
      </c>
      <c r="J463" s="20">
        <v>1</v>
      </c>
      <c r="K463" s="21">
        <v>42958</v>
      </c>
      <c r="L463" s="21">
        <v>42964</v>
      </c>
      <c r="M463" s="21">
        <v>42989</v>
      </c>
      <c r="N463" s="24" t="s">
        <v>2448</v>
      </c>
      <c r="O463" s="19" t="s">
        <v>557</v>
      </c>
      <c r="P463" s="19" t="s">
        <v>558</v>
      </c>
      <c r="Q463" s="19" t="s">
        <v>590</v>
      </c>
      <c r="R463" s="19" t="s">
        <v>616</v>
      </c>
      <c r="S463" s="19" t="s">
        <v>2091</v>
      </c>
      <c r="T463" t="s">
        <v>51</v>
      </c>
      <c r="U463" s="22">
        <v>0</v>
      </c>
      <c r="V463" s="22">
        <v>0</v>
      </c>
      <c r="W463" s="22">
        <v>368.14</v>
      </c>
      <c r="X463" s="22">
        <v>0</v>
      </c>
      <c r="Y463" s="22">
        <v>42.28</v>
      </c>
      <c r="Z463" s="22">
        <v>0</v>
      </c>
      <c r="AA463" s="22">
        <v>0</v>
      </c>
      <c r="AB463" s="22">
        <v>0</v>
      </c>
      <c r="AC463" s="22">
        <v>0</v>
      </c>
      <c r="AD463" s="22">
        <v>0</v>
      </c>
      <c r="AE463" s="22">
        <v>410.42</v>
      </c>
      <c r="AF463" s="22">
        <f t="shared" si="7"/>
        <v>410.42</v>
      </c>
      <c r="AG463" s="22">
        <v>0</v>
      </c>
      <c r="AH463" s="22">
        <v>410.42</v>
      </c>
      <c r="AI463" t="s">
        <v>562</v>
      </c>
      <c r="AJ463" t="s">
        <v>1306</v>
      </c>
    </row>
    <row r="464" spans="1:36" ht="43.5" outlineLevel="2" x14ac:dyDescent="0.35">
      <c r="A464" s="19" t="s">
        <v>551</v>
      </c>
      <c r="B464" s="19" t="s">
        <v>1001</v>
      </c>
      <c r="C464" s="19" t="s">
        <v>1002</v>
      </c>
      <c r="D464" s="19">
        <v>2017</v>
      </c>
      <c r="E464" s="19" t="s">
        <v>1776</v>
      </c>
      <c r="F464" s="19">
        <v>80090612</v>
      </c>
      <c r="G464" s="19" t="s">
        <v>2092</v>
      </c>
      <c r="H464" s="19" t="s">
        <v>2093</v>
      </c>
      <c r="I464" s="19" t="s">
        <v>31</v>
      </c>
      <c r="J464" s="20">
        <v>1</v>
      </c>
      <c r="K464" s="21">
        <v>42957</v>
      </c>
      <c r="L464" s="21">
        <v>42958</v>
      </c>
      <c r="M464" s="21">
        <v>43050</v>
      </c>
      <c r="N464" s="24" t="s">
        <v>2448</v>
      </c>
      <c r="O464" s="19" t="s">
        <v>557</v>
      </c>
      <c r="P464" s="19" t="s">
        <v>568</v>
      </c>
      <c r="Q464" s="19" t="s">
        <v>577</v>
      </c>
      <c r="R464" s="19" t="s">
        <v>570</v>
      </c>
      <c r="S464" s="19" t="s">
        <v>2094</v>
      </c>
      <c r="T464" t="s">
        <v>51</v>
      </c>
      <c r="U464" s="22">
        <v>0</v>
      </c>
      <c r="V464" s="22">
        <v>0</v>
      </c>
      <c r="W464" s="22">
        <v>1341.21</v>
      </c>
      <c r="X464" s="22">
        <v>0</v>
      </c>
      <c r="Y464" s="22">
        <v>100.66</v>
      </c>
      <c r="Z464" s="22">
        <v>0</v>
      </c>
      <c r="AA464" s="22">
        <v>0</v>
      </c>
      <c r="AB464" s="22">
        <v>0</v>
      </c>
      <c r="AC464" s="22">
        <v>0</v>
      </c>
      <c r="AD464" s="22">
        <v>0</v>
      </c>
      <c r="AE464" s="22">
        <v>1441.87</v>
      </c>
      <c r="AF464" s="22">
        <f t="shared" si="7"/>
        <v>1441.87</v>
      </c>
      <c r="AG464" s="22">
        <v>0</v>
      </c>
      <c r="AH464" s="22">
        <v>1441.87</v>
      </c>
      <c r="AI464" t="s">
        <v>562</v>
      </c>
      <c r="AJ464" t="s">
        <v>1306</v>
      </c>
    </row>
    <row r="465" spans="1:36" ht="58" outlineLevel="2" x14ac:dyDescent="0.35">
      <c r="A465" s="19" t="s">
        <v>551</v>
      </c>
      <c r="B465" s="19" t="s">
        <v>621</v>
      </c>
      <c r="C465" s="19" t="s">
        <v>622</v>
      </c>
      <c r="D465" s="19">
        <v>2017</v>
      </c>
      <c r="E465" s="19" t="s">
        <v>1776</v>
      </c>
      <c r="F465" s="19">
        <v>80090634</v>
      </c>
      <c r="G465" s="19" t="s">
        <v>2095</v>
      </c>
      <c r="H465" s="19" t="s">
        <v>2096</v>
      </c>
      <c r="I465" s="19" t="s">
        <v>31</v>
      </c>
      <c r="J465" s="20">
        <v>1</v>
      </c>
      <c r="K465" s="21">
        <v>42956</v>
      </c>
      <c r="L465" s="21">
        <v>42964</v>
      </c>
      <c r="M465" s="21">
        <v>43098</v>
      </c>
      <c r="N465" s="24" t="s">
        <v>2448</v>
      </c>
      <c r="O465" s="19" t="s">
        <v>557</v>
      </c>
      <c r="P465" s="19" t="s">
        <v>558</v>
      </c>
      <c r="Q465" s="19" t="s">
        <v>683</v>
      </c>
      <c r="R465" s="19" t="s">
        <v>616</v>
      </c>
      <c r="S465" s="19" t="s">
        <v>2097</v>
      </c>
      <c r="T465" t="s">
        <v>69</v>
      </c>
      <c r="U465" s="22">
        <v>0</v>
      </c>
      <c r="V465" s="22">
        <v>0</v>
      </c>
      <c r="W465" s="22">
        <v>2781.92</v>
      </c>
      <c r="X465" s="22">
        <v>0</v>
      </c>
      <c r="Y465" s="22">
        <v>49.8</v>
      </c>
      <c r="Z465" s="22">
        <v>0</v>
      </c>
      <c r="AA465" s="22">
        <v>0</v>
      </c>
      <c r="AB465" s="22">
        <v>0</v>
      </c>
      <c r="AC465" s="22">
        <v>0</v>
      </c>
      <c r="AD465" s="22">
        <v>0</v>
      </c>
      <c r="AE465" s="22">
        <v>2831.72</v>
      </c>
      <c r="AF465" s="22">
        <f t="shared" si="7"/>
        <v>2831.72</v>
      </c>
      <c r="AG465" s="22">
        <v>0</v>
      </c>
      <c r="AH465" s="22">
        <v>2831.72</v>
      </c>
      <c r="AI465" t="s">
        <v>562</v>
      </c>
      <c r="AJ465" t="s">
        <v>1306</v>
      </c>
    </row>
    <row r="466" spans="1:36" ht="72.5" outlineLevel="2" x14ac:dyDescent="0.35">
      <c r="A466" s="19" t="s">
        <v>551</v>
      </c>
      <c r="B466" s="19" t="s">
        <v>2081</v>
      </c>
      <c r="C466" s="19" t="s">
        <v>2082</v>
      </c>
      <c r="D466" s="19">
        <v>2017</v>
      </c>
      <c r="E466" s="19" t="s">
        <v>1776</v>
      </c>
      <c r="F466" s="19">
        <v>80090609</v>
      </c>
      <c r="G466" s="19" t="s">
        <v>2098</v>
      </c>
      <c r="H466" s="19" t="s">
        <v>2099</v>
      </c>
      <c r="I466" s="19" t="s">
        <v>31</v>
      </c>
      <c r="J466" s="20">
        <v>1</v>
      </c>
      <c r="K466" s="21">
        <v>42954</v>
      </c>
      <c r="L466" s="21">
        <v>42956</v>
      </c>
      <c r="M466" s="21">
        <v>43213</v>
      </c>
      <c r="N466" s="24" t="s">
        <v>2448</v>
      </c>
      <c r="O466" s="19" t="s">
        <v>557</v>
      </c>
      <c r="P466" s="19" t="s">
        <v>568</v>
      </c>
      <c r="Q466" s="19" t="s">
        <v>577</v>
      </c>
      <c r="R466" s="19" t="s">
        <v>616</v>
      </c>
      <c r="S466" s="19" t="s">
        <v>2100</v>
      </c>
      <c r="T466" t="s">
        <v>51</v>
      </c>
      <c r="U466" s="22">
        <v>0</v>
      </c>
      <c r="V466" s="22">
        <v>0</v>
      </c>
      <c r="W466" s="22">
        <v>952.19</v>
      </c>
      <c r="X466" s="22">
        <v>0</v>
      </c>
      <c r="Y466" s="22">
        <v>184.46</v>
      </c>
      <c r="Z466" s="22">
        <v>0</v>
      </c>
      <c r="AA466" s="22">
        <v>0</v>
      </c>
      <c r="AB466" s="22">
        <v>0</v>
      </c>
      <c r="AC466" s="22">
        <v>0</v>
      </c>
      <c r="AD466" s="22">
        <v>0</v>
      </c>
      <c r="AE466" s="22">
        <v>1136.6500000000001</v>
      </c>
      <c r="AF466" s="22">
        <f t="shared" si="7"/>
        <v>1136.6500000000001</v>
      </c>
      <c r="AG466" s="22">
        <v>0</v>
      </c>
      <c r="AH466" s="22">
        <v>1136.6500000000001</v>
      </c>
      <c r="AI466" t="s">
        <v>562</v>
      </c>
      <c r="AJ466" t="s">
        <v>1306</v>
      </c>
    </row>
    <row r="467" spans="1:36" ht="58" outlineLevel="2" x14ac:dyDescent="0.35">
      <c r="A467" s="19" t="s">
        <v>551</v>
      </c>
      <c r="B467" s="19" t="s">
        <v>986</v>
      </c>
      <c r="C467" s="19" t="s">
        <v>553</v>
      </c>
      <c r="D467" s="19">
        <v>2017</v>
      </c>
      <c r="E467" s="19" t="s">
        <v>1776</v>
      </c>
      <c r="F467" s="19">
        <v>80089254</v>
      </c>
      <c r="G467" s="19" t="s">
        <v>2101</v>
      </c>
      <c r="H467" s="19" t="s">
        <v>2102</v>
      </c>
      <c r="I467" s="19" t="s">
        <v>31</v>
      </c>
      <c r="J467" s="20">
        <v>1</v>
      </c>
      <c r="K467" s="21">
        <v>42951</v>
      </c>
      <c r="L467" s="21">
        <v>43431</v>
      </c>
      <c r="M467" s="21">
        <v>43489</v>
      </c>
      <c r="N467" s="24" t="s">
        <v>2448</v>
      </c>
      <c r="O467" s="19" t="s">
        <v>557</v>
      </c>
      <c r="P467" s="19" t="s">
        <v>568</v>
      </c>
      <c r="Q467" s="19" t="s">
        <v>634</v>
      </c>
      <c r="R467" s="19" t="s">
        <v>578</v>
      </c>
      <c r="S467" s="19" t="s">
        <v>2103</v>
      </c>
      <c r="T467" t="s">
        <v>169</v>
      </c>
      <c r="U467" s="22">
        <v>0</v>
      </c>
      <c r="V467" s="22">
        <v>0</v>
      </c>
      <c r="W467" s="22">
        <v>0</v>
      </c>
      <c r="X467" s="22">
        <v>0</v>
      </c>
      <c r="Y467" s="22">
        <v>0</v>
      </c>
      <c r="Z467" s="22">
        <v>0</v>
      </c>
      <c r="AA467" s="22">
        <v>0</v>
      </c>
      <c r="AB467" s="22">
        <v>0</v>
      </c>
      <c r="AC467" s="22">
        <v>0</v>
      </c>
      <c r="AD467" s="22">
        <v>0</v>
      </c>
      <c r="AE467" s="22">
        <v>0</v>
      </c>
      <c r="AF467" s="22">
        <f t="shared" si="7"/>
        <v>0</v>
      </c>
      <c r="AG467" s="22">
        <v>0</v>
      </c>
      <c r="AH467" s="22">
        <v>0</v>
      </c>
      <c r="AI467" t="s">
        <v>562</v>
      </c>
      <c r="AJ467" t="s">
        <v>1306</v>
      </c>
    </row>
    <row r="468" spans="1:36" ht="29" outlineLevel="2" x14ac:dyDescent="0.35">
      <c r="A468" s="19" t="s">
        <v>551</v>
      </c>
      <c r="B468" s="19" t="s">
        <v>2081</v>
      </c>
      <c r="C468" s="19" t="s">
        <v>2082</v>
      </c>
      <c r="D468" s="19">
        <v>2017</v>
      </c>
      <c r="E468" s="19" t="s">
        <v>1776</v>
      </c>
      <c r="F468" s="19">
        <v>80090597</v>
      </c>
      <c r="G468" s="19" t="s">
        <v>2104</v>
      </c>
      <c r="H468" s="19" t="s">
        <v>2105</v>
      </c>
      <c r="I468" s="19" t="s">
        <v>31</v>
      </c>
      <c r="J468" s="20">
        <v>1</v>
      </c>
      <c r="K468" s="21">
        <v>42951</v>
      </c>
      <c r="L468" s="21">
        <v>42955</v>
      </c>
      <c r="M468" s="21">
        <v>43000</v>
      </c>
      <c r="N468" s="24" t="s">
        <v>2448</v>
      </c>
      <c r="O468" s="19" t="s">
        <v>557</v>
      </c>
      <c r="P468" s="19" t="s">
        <v>568</v>
      </c>
      <c r="Q468" s="19" t="s">
        <v>584</v>
      </c>
      <c r="R468" s="19" t="s">
        <v>650</v>
      </c>
      <c r="S468" s="19" t="s">
        <v>2106</v>
      </c>
      <c r="T468" t="s">
        <v>51</v>
      </c>
      <c r="U468" s="22">
        <v>0</v>
      </c>
      <c r="V468" s="22">
        <v>0</v>
      </c>
      <c r="W468" s="22">
        <v>1246.6300000000001</v>
      </c>
      <c r="X468" s="22">
        <v>0</v>
      </c>
      <c r="Y468" s="22">
        <v>103.16</v>
      </c>
      <c r="Z468" s="22">
        <v>0</v>
      </c>
      <c r="AA468" s="22">
        <v>0</v>
      </c>
      <c r="AB468" s="22">
        <v>0</v>
      </c>
      <c r="AC468" s="22">
        <v>0</v>
      </c>
      <c r="AD468" s="22">
        <v>0</v>
      </c>
      <c r="AE468" s="22">
        <v>1349.79</v>
      </c>
      <c r="AF468" s="22">
        <f t="shared" si="7"/>
        <v>1349.79</v>
      </c>
      <c r="AG468" s="22">
        <v>0</v>
      </c>
      <c r="AH468" s="22">
        <v>1349.79</v>
      </c>
      <c r="AI468" t="s">
        <v>562</v>
      </c>
      <c r="AJ468" t="s">
        <v>1306</v>
      </c>
    </row>
    <row r="469" spans="1:36" ht="101.5" outlineLevel="2" x14ac:dyDescent="0.35">
      <c r="A469" s="19" t="s">
        <v>551</v>
      </c>
      <c r="B469" s="19" t="s">
        <v>599</v>
      </c>
      <c r="C469" s="19" t="s">
        <v>600</v>
      </c>
      <c r="D469" s="19">
        <v>2017</v>
      </c>
      <c r="E469" s="19" t="s">
        <v>1776</v>
      </c>
      <c r="F469" s="19">
        <v>80090611</v>
      </c>
      <c r="G469" s="19" t="s">
        <v>2107</v>
      </c>
      <c r="H469" s="19" t="s">
        <v>2108</v>
      </c>
      <c r="I469" s="19" t="s">
        <v>31</v>
      </c>
      <c r="J469" s="20">
        <v>1</v>
      </c>
      <c r="K469" s="21">
        <v>42951</v>
      </c>
      <c r="L469" s="21">
        <v>42954</v>
      </c>
      <c r="M469" s="21">
        <v>42972</v>
      </c>
      <c r="N469" s="24" t="s">
        <v>2448</v>
      </c>
      <c r="O469" s="19" t="s">
        <v>557</v>
      </c>
      <c r="P469" s="19" t="s">
        <v>609</v>
      </c>
      <c r="Q469" s="19" t="s">
        <v>655</v>
      </c>
      <c r="R469" s="19" t="s">
        <v>578</v>
      </c>
      <c r="S469" s="19" t="s">
        <v>2109</v>
      </c>
      <c r="T469" t="s">
        <v>51</v>
      </c>
      <c r="U469" s="22">
        <v>0</v>
      </c>
      <c r="V469" s="22">
        <v>0</v>
      </c>
      <c r="W469" s="22">
        <v>650.79</v>
      </c>
      <c r="X469" s="22">
        <v>0</v>
      </c>
      <c r="Y469" s="22">
        <v>38.090000000000003</v>
      </c>
      <c r="Z469" s="22">
        <v>0</v>
      </c>
      <c r="AA469" s="22">
        <v>0</v>
      </c>
      <c r="AB469" s="22">
        <v>0</v>
      </c>
      <c r="AC469" s="22">
        <v>0</v>
      </c>
      <c r="AD469" s="22">
        <v>0</v>
      </c>
      <c r="AE469" s="22">
        <v>688.88</v>
      </c>
      <c r="AF469" s="22">
        <f t="shared" si="7"/>
        <v>688.88</v>
      </c>
      <c r="AG469" s="22">
        <v>0</v>
      </c>
      <c r="AH469" s="22">
        <v>688.88</v>
      </c>
      <c r="AI469" t="s">
        <v>562</v>
      </c>
      <c r="AJ469" t="s">
        <v>1306</v>
      </c>
    </row>
    <row r="470" spans="1:36" ht="58" outlineLevel="2" x14ac:dyDescent="0.35">
      <c r="A470" s="19" t="s">
        <v>551</v>
      </c>
      <c r="B470" s="19" t="s">
        <v>658</v>
      </c>
      <c r="C470" s="19" t="s">
        <v>643</v>
      </c>
      <c r="D470" s="19">
        <v>2017</v>
      </c>
      <c r="E470" s="19" t="s">
        <v>1776</v>
      </c>
      <c r="F470" s="19">
        <v>80090615</v>
      </c>
      <c r="G470" s="19" t="s">
        <v>2110</v>
      </c>
      <c r="H470" s="19" t="s">
        <v>2111</v>
      </c>
      <c r="I470" s="19" t="s">
        <v>31</v>
      </c>
      <c r="J470" s="20">
        <v>1</v>
      </c>
      <c r="K470" s="21">
        <v>42950</v>
      </c>
      <c r="L470" s="21">
        <v>42951</v>
      </c>
      <c r="M470" s="21">
        <v>43104</v>
      </c>
      <c r="N470" s="24" t="s">
        <v>2448</v>
      </c>
      <c r="O470" s="19" t="s">
        <v>557</v>
      </c>
      <c r="P470" s="19" t="s">
        <v>665</v>
      </c>
      <c r="Q470" s="19" t="s">
        <v>778</v>
      </c>
      <c r="R470" s="19" t="s">
        <v>591</v>
      </c>
      <c r="S470" s="19" t="s">
        <v>2112</v>
      </c>
      <c r="T470" t="s">
        <v>62</v>
      </c>
      <c r="U470" s="22">
        <v>4640</v>
      </c>
      <c r="V470" s="22">
        <v>0</v>
      </c>
      <c r="W470" s="22">
        <v>1111.68</v>
      </c>
      <c r="X470" s="22">
        <v>0</v>
      </c>
      <c r="Y470" s="22">
        <v>237.69</v>
      </c>
      <c r="Z470" s="22">
        <v>0</v>
      </c>
      <c r="AA470" s="22">
        <v>0</v>
      </c>
      <c r="AB470" s="22">
        <v>0</v>
      </c>
      <c r="AC470" s="22">
        <v>0</v>
      </c>
      <c r="AD470" s="22">
        <v>0</v>
      </c>
      <c r="AE470" s="22">
        <v>5989.37</v>
      </c>
      <c r="AF470" s="22">
        <f t="shared" si="7"/>
        <v>5989.37</v>
      </c>
      <c r="AG470" s="22">
        <v>0</v>
      </c>
      <c r="AH470" s="22">
        <v>5989.37</v>
      </c>
      <c r="AI470" t="s">
        <v>562</v>
      </c>
      <c r="AJ470" t="s">
        <v>1306</v>
      </c>
    </row>
    <row r="471" spans="1:36" ht="43.5" outlineLevel="2" x14ac:dyDescent="0.35">
      <c r="A471" s="19" t="s">
        <v>551</v>
      </c>
      <c r="B471" s="19" t="s">
        <v>986</v>
      </c>
      <c r="C471" s="19" t="s">
        <v>553</v>
      </c>
      <c r="D471" s="19">
        <v>2017</v>
      </c>
      <c r="E471" s="19" t="s">
        <v>1776</v>
      </c>
      <c r="F471" s="19">
        <v>80090348</v>
      </c>
      <c r="G471" s="19" t="s">
        <v>2113</v>
      </c>
      <c r="H471" s="19" t="s">
        <v>2114</v>
      </c>
      <c r="I471" s="19" t="s">
        <v>31</v>
      </c>
      <c r="J471" s="20">
        <v>1</v>
      </c>
      <c r="K471" s="21">
        <v>42934</v>
      </c>
      <c r="L471" s="21">
        <v>42934</v>
      </c>
      <c r="M471" s="21">
        <v>44340</v>
      </c>
      <c r="N471" s="24" t="s">
        <v>2448</v>
      </c>
      <c r="O471" s="19" t="s">
        <v>557</v>
      </c>
      <c r="P471" s="19" t="s">
        <v>568</v>
      </c>
      <c r="Q471" s="19" t="s">
        <v>634</v>
      </c>
      <c r="R471" s="19" t="s">
        <v>708</v>
      </c>
      <c r="S471" s="19" t="s">
        <v>2115</v>
      </c>
      <c r="T471" t="s">
        <v>169</v>
      </c>
      <c r="U471" s="22">
        <v>36817.56</v>
      </c>
      <c r="V471" s="22">
        <v>0</v>
      </c>
      <c r="W471" s="22">
        <v>1376.29</v>
      </c>
      <c r="X471" s="22">
        <v>0</v>
      </c>
      <c r="Y471" s="22">
        <v>8611.1</v>
      </c>
      <c r="Z471" s="22">
        <v>0</v>
      </c>
      <c r="AA471" s="22">
        <v>0</v>
      </c>
      <c r="AB471" s="22">
        <v>-25.48</v>
      </c>
      <c r="AC471" s="22">
        <v>0</v>
      </c>
      <c r="AD471" s="22">
        <v>0</v>
      </c>
      <c r="AE471" s="22">
        <v>46804.95</v>
      </c>
      <c r="AF471" s="22">
        <f t="shared" si="7"/>
        <v>46779.469999999994</v>
      </c>
      <c r="AG471" s="22">
        <v>0</v>
      </c>
      <c r="AH471" s="22">
        <v>46779.47</v>
      </c>
      <c r="AI471" t="s">
        <v>562</v>
      </c>
      <c r="AJ471" t="s">
        <v>1306</v>
      </c>
    </row>
    <row r="472" spans="1:36" ht="72.5" outlineLevel="2" x14ac:dyDescent="0.35">
      <c r="A472" s="19" t="s">
        <v>551</v>
      </c>
      <c r="B472" s="19" t="s">
        <v>996</v>
      </c>
      <c r="C472" s="19" t="s">
        <v>997</v>
      </c>
      <c r="D472" s="19">
        <v>2017</v>
      </c>
      <c r="E472" s="19" t="s">
        <v>1776</v>
      </c>
      <c r="F472" s="19">
        <v>80090608</v>
      </c>
      <c r="G472" s="19" t="s">
        <v>2116</v>
      </c>
      <c r="H472" s="19" t="s">
        <v>2117</v>
      </c>
      <c r="I472" s="19" t="s">
        <v>31</v>
      </c>
      <c r="J472" s="20">
        <v>1</v>
      </c>
      <c r="K472" s="21">
        <v>42934</v>
      </c>
      <c r="L472" s="21">
        <v>42937</v>
      </c>
      <c r="M472" s="21">
        <v>42971</v>
      </c>
      <c r="N472" s="24" t="s">
        <v>2448</v>
      </c>
      <c r="O472" s="19" t="s">
        <v>557</v>
      </c>
      <c r="P472" s="19" t="s">
        <v>568</v>
      </c>
      <c r="Q472" s="19" t="s">
        <v>704</v>
      </c>
      <c r="R472" s="19" t="s">
        <v>578</v>
      </c>
      <c r="S472" s="19" t="s">
        <v>2118</v>
      </c>
      <c r="T472" t="s">
        <v>51</v>
      </c>
      <c r="U472" s="22">
        <v>0</v>
      </c>
      <c r="V472" s="22">
        <v>0</v>
      </c>
      <c r="W472" s="22">
        <v>865.74</v>
      </c>
      <c r="X472" s="22">
        <v>0</v>
      </c>
      <c r="Y472" s="22">
        <v>79.31</v>
      </c>
      <c r="Z472" s="22">
        <v>0</v>
      </c>
      <c r="AA472" s="22">
        <v>0</v>
      </c>
      <c r="AB472" s="22">
        <v>0</v>
      </c>
      <c r="AC472" s="22">
        <v>0</v>
      </c>
      <c r="AD472" s="22">
        <v>0</v>
      </c>
      <c r="AE472" s="22">
        <v>945.05</v>
      </c>
      <c r="AF472" s="22">
        <f t="shared" si="7"/>
        <v>945.05</v>
      </c>
      <c r="AG472" s="22">
        <v>0</v>
      </c>
      <c r="AH472" s="22">
        <v>945.05</v>
      </c>
      <c r="AI472" t="s">
        <v>562</v>
      </c>
      <c r="AJ472" t="s">
        <v>1306</v>
      </c>
    </row>
    <row r="473" spans="1:36" ht="58" outlineLevel="2" x14ac:dyDescent="0.35">
      <c r="A473" s="19" t="s">
        <v>551</v>
      </c>
      <c r="B473" s="19" t="s">
        <v>605</v>
      </c>
      <c r="C473" s="19" t="s">
        <v>606</v>
      </c>
      <c r="D473" s="19">
        <v>2017</v>
      </c>
      <c r="E473" s="19" t="s">
        <v>1776</v>
      </c>
      <c r="F473" s="19">
        <v>80090323</v>
      </c>
      <c r="G473" s="19" t="s">
        <v>2119</v>
      </c>
      <c r="H473" s="19" t="s">
        <v>2120</v>
      </c>
      <c r="I473" s="19" t="s">
        <v>31</v>
      </c>
      <c r="J473" s="20">
        <v>1</v>
      </c>
      <c r="K473" s="21">
        <v>42929</v>
      </c>
      <c r="L473" s="21">
        <v>42934</v>
      </c>
      <c r="M473" s="21">
        <v>42985</v>
      </c>
      <c r="N473" s="24" t="s">
        <v>2448</v>
      </c>
      <c r="O473" s="19" t="s">
        <v>557</v>
      </c>
      <c r="P473" s="19" t="s">
        <v>558</v>
      </c>
      <c r="Q473" s="19" t="s">
        <v>590</v>
      </c>
      <c r="R473" s="19" t="s">
        <v>616</v>
      </c>
      <c r="S473" s="19" t="s">
        <v>2121</v>
      </c>
      <c r="T473" t="s">
        <v>69</v>
      </c>
      <c r="U473" s="22">
        <v>0</v>
      </c>
      <c r="V473" s="22">
        <v>0</v>
      </c>
      <c r="W473" s="22">
        <v>355.86</v>
      </c>
      <c r="X473" s="22">
        <v>0</v>
      </c>
      <c r="Y473" s="22">
        <v>24.9</v>
      </c>
      <c r="Z473" s="22">
        <v>0</v>
      </c>
      <c r="AA473" s="22">
        <v>0</v>
      </c>
      <c r="AB473" s="22">
        <v>0</v>
      </c>
      <c r="AC473" s="22">
        <v>0</v>
      </c>
      <c r="AD473" s="22">
        <v>0</v>
      </c>
      <c r="AE473" s="22">
        <v>380.76</v>
      </c>
      <c r="AF473" s="22">
        <f t="shared" si="7"/>
        <v>380.76</v>
      </c>
      <c r="AG473" s="22">
        <v>0</v>
      </c>
      <c r="AH473" s="22">
        <v>380.76</v>
      </c>
      <c r="AI473" t="s">
        <v>562</v>
      </c>
      <c r="AJ473" t="s">
        <v>1306</v>
      </c>
    </row>
    <row r="474" spans="1:36" ht="130.5" outlineLevel="2" x14ac:dyDescent="0.35">
      <c r="A474" s="19" t="s">
        <v>551</v>
      </c>
      <c r="B474" s="19" t="s">
        <v>636</v>
      </c>
      <c r="C474" s="19" t="s">
        <v>594</v>
      </c>
      <c r="D474" s="19">
        <v>2017</v>
      </c>
      <c r="E474" s="19" t="s">
        <v>1776</v>
      </c>
      <c r="F474" s="19">
        <v>80090595</v>
      </c>
      <c r="G474" s="19" t="s">
        <v>2122</v>
      </c>
      <c r="H474" s="19" t="s">
        <v>2123</v>
      </c>
      <c r="I474" s="19" t="s">
        <v>31</v>
      </c>
      <c r="J474" s="20">
        <v>1</v>
      </c>
      <c r="K474" s="21">
        <v>42929</v>
      </c>
      <c r="L474" s="21">
        <v>42944</v>
      </c>
      <c r="M474" s="21">
        <v>43292</v>
      </c>
      <c r="N474" s="24" t="s">
        <v>2448</v>
      </c>
      <c r="O474" s="19" t="s">
        <v>557</v>
      </c>
      <c r="P474" s="19" t="s">
        <v>568</v>
      </c>
      <c r="Q474" s="19" t="s">
        <v>1600</v>
      </c>
      <c r="R474" s="19" t="s">
        <v>578</v>
      </c>
      <c r="S474" s="19" t="s">
        <v>2124</v>
      </c>
      <c r="T474" t="s">
        <v>325</v>
      </c>
      <c r="U474" s="22">
        <v>0</v>
      </c>
      <c r="V474" s="22">
        <v>0</v>
      </c>
      <c r="W474" s="22">
        <v>150</v>
      </c>
      <c r="X474" s="22">
        <v>0</v>
      </c>
      <c r="Y474" s="22">
        <v>0</v>
      </c>
      <c r="Z474" s="22">
        <v>0</v>
      </c>
      <c r="AA474" s="22">
        <v>0</v>
      </c>
      <c r="AB474" s="22">
        <v>0</v>
      </c>
      <c r="AC474" s="22">
        <v>0</v>
      </c>
      <c r="AD474" s="22">
        <v>0</v>
      </c>
      <c r="AE474" s="22">
        <v>150</v>
      </c>
      <c r="AF474" s="22">
        <f t="shared" si="7"/>
        <v>150</v>
      </c>
      <c r="AG474" s="22">
        <v>0</v>
      </c>
      <c r="AH474" s="22">
        <v>150</v>
      </c>
      <c r="AI474" t="s">
        <v>562</v>
      </c>
      <c r="AJ474" t="s">
        <v>1306</v>
      </c>
    </row>
    <row r="475" spans="1:36" ht="58" outlineLevel="2" x14ac:dyDescent="0.35">
      <c r="A475" s="19" t="s">
        <v>551</v>
      </c>
      <c r="B475" s="19" t="s">
        <v>996</v>
      </c>
      <c r="C475" s="19" t="s">
        <v>997</v>
      </c>
      <c r="D475" s="19">
        <v>2017</v>
      </c>
      <c r="E475" s="19" t="s">
        <v>1776</v>
      </c>
      <c r="F475" s="19">
        <v>80090598</v>
      </c>
      <c r="G475" s="19" t="s">
        <v>2125</v>
      </c>
      <c r="H475" s="19" t="s">
        <v>2126</v>
      </c>
      <c r="I475" s="19" t="s">
        <v>31</v>
      </c>
      <c r="J475" s="20">
        <v>1</v>
      </c>
      <c r="K475" s="21">
        <v>42929</v>
      </c>
      <c r="L475" s="21">
        <v>42947</v>
      </c>
      <c r="M475" s="21">
        <v>42993</v>
      </c>
      <c r="N475" s="24" t="s">
        <v>2448</v>
      </c>
      <c r="O475" s="19" t="s">
        <v>557</v>
      </c>
      <c r="P475" s="19" t="s">
        <v>568</v>
      </c>
      <c r="Q475" s="19" t="s">
        <v>655</v>
      </c>
      <c r="R475" s="19" t="s">
        <v>578</v>
      </c>
      <c r="S475" s="19" t="s">
        <v>2127</v>
      </c>
      <c r="T475" t="s">
        <v>51</v>
      </c>
      <c r="U475" s="22">
        <v>0</v>
      </c>
      <c r="V475" s="22">
        <v>0</v>
      </c>
      <c r="W475" s="22">
        <v>1410.45</v>
      </c>
      <c r="X475" s="22">
        <v>0</v>
      </c>
      <c r="Y475" s="22">
        <v>38</v>
      </c>
      <c r="Z475" s="22">
        <v>0</v>
      </c>
      <c r="AA475" s="22">
        <v>0</v>
      </c>
      <c r="AB475" s="22">
        <v>0</v>
      </c>
      <c r="AC475" s="22">
        <v>0</v>
      </c>
      <c r="AD475" s="22">
        <v>0</v>
      </c>
      <c r="AE475" s="22">
        <v>1448.45</v>
      </c>
      <c r="AF475" s="22">
        <f t="shared" si="7"/>
        <v>1448.45</v>
      </c>
      <c r="AG475" s="22">
        <v>0</v>
      </c>
      <c r="AH475" s="22">
        <v>1448.45</v>
      </c>
      <c r="AI475" t="s">
        <v>562</v>
      </c>
      <c r="AJ475" t="s">
        <v>1306</v>
      </c>
    </row>
    <row r="476" spans="1:36" ht="58" outlineLevel="2" x14ac:dyDescent="0.35">
      <c r="A476" s="19" t="s">
        <v>551</v>
      </c>
      <c r="B476" s="19" t="s">
        <v>636</v>
      </c>
      <c r="C476" s="19" t="s">
        <v>594</v>
      </c>
      <c r="D476" s="19">
        <v>2017</v>
      </c>
      <c r="E476" s="19" t="s">
        <v>1776</v>
      </c>
      <c r="F476" s="19">
        <v>80090607</v>
      </c>
      <c r="G476" s="19" t="s">
        <v>2128</v>
      </c>
      <c r="H476" s="19" t="s">
        <v>2129</v>
      </c>
      <c r="I476" s="19" t="s">
        <v>31</v>
      </c>
      <c r="J476" s="20">
        <v>1</v>
      </c>
      <c r="K476" s="21">
        <v>42929</v>
      </c>
      <c r="L476" s="21">
        <v>42937</v>
      </c>
      <c r="M476" s="21">
        <v>42998</v>
      </c>
      <c r="N476" s="24" t="s">
        <v>2448</v>
      </c>
      <c r="O476" s="19" t="s">
        <v>557</v>
      </c>
      <c r="P476" s="19" t="s">
        <v>568</v>
      </c>
      <c r="Q476" s="19" t="s">
        <v>584</v>
      </c>
      <c r="R476" s="19" t="s">
        <v>689</v>
      </c>
      <c r="S476" s="19" t="s">
        <v>2130</v>
      </c>
      <c r="T476" t="s">
        <v>33</v>
      </c>
      <c r="U476" s="22">
        <v>0</v>
      </c>
      <c r="V476" s="22">
        <v>0</v>
      </c>
      <c r="W476" s="22">
        <v>0</v>
      </c>
      <c r="X476" s="22">
        <v>0</v>
      </c>
      <c r="Y476" s="22">
        <v>0</v>
      </c>
      <c r="Z476" s="22">
        <v>0</v>
      </c>
      <c r="AA476" s="22">
        <v>0</v>
      </c>
      <c r="AB476" s="22">
        <v>0</v>
      </c>
      <c r="AC476" s="22">
        <v>0</v>
      </c>
      <c r="AD476" s="22">
        <v>0</v>
      </c>
      <c r="AE476" s="22">
        <v>0</v>
      </c>
      <c r="AF476" s="22">
        <f t="shared" si="7"/>
        <v>0</v>
      </c>
      <c r="AG476" s="22">
        <v>0</v>
      </c>
      <c r="AH476" s="22">
        <v>0</v>
      </c>
      <c r="AI476" t="s">
        <v>562</v>
      </c>
      <c r="AJ476" t="s">
        <v>1306</v>
      </c>
    </row>
    <row r="477" spans="1:36" ht="87" outlineLevel="2" x14ac:dyDescent="0.35">
      <c r="A477" s="19" t="s">
        <v>551</v>
      </c>
      <c r="B477" s="19" t="s">
        <v>599</v>
      </c>
      <c r="C477" s="19" t="s">
        <v>600</v>
      </c>
      <c r="D477" s="19">
        <v>2017</v>
      </c>
      <c r="E477" s="19" t="s">
        <v>1776</v>
      </c>
      <c r="F477" s="19">
        <v>80090320</v>
      </c>
      <c r="G477" s="19" t="s">
        <v>2131</v>
      </c>
      <c r="H477" s="19" t="s">
        <v>2132</v>
      </c>
      <c r="I477" s="19" t="s">
        <v>31</v>
      </c>
      <c r="J477" s="20">
        <v>1</v>
      </c>
      <c r="K477" s="21">
        <v>42927</v>
      </c>
      <c r="L477" s="21">
        <v>42928</v>
      </c>
      <c r="M477" s="21">
        <v>43047</v>
      </c>
      <c r="N477" s="24" t="s">
        <v>2448</v>
      </c>
      <c r="O477" s="19" t="s">
        <v>557</v>
      </c>
      <c r="P477" s="19" t="s">
        <v>609</v>
      </c>
      <c r="Q477" s="19" t="s">
        <v>577</v>
      </c>
      <c r="R477" s="19" t="s">
        <v>708</v>
      </c>
      <c r="S477" s="19" t="s">
        <v>2133</v>
      </c>
      <c r="T477" t="s">
        <v>51</v>
      </c>
      <c r="U477" s="22">
        <v>0</v>
      </c>
      <c r="V477" s="22">
        <v>0</v>
      </c>
      <c r="W477" s="22">
        <v>1069.96</v>
      </c>
      <c r="X477" s="22">
        <v>0</v>
      </c>
      <c r="Y477" s="22">
        <v>119.93</v>
      </c>
      <c r="Z477" s="22">
        <v>0</v>
      </c>
      <c r="AA477" s="22">
        <v>0</v>
      </c>
      <c r="AB477" s="22">
        <v>-19.96</v>
      </c>
      <c r="AC477" s="22">
        <v>0</v>
      </c>
      <c r="AD477" s="22">
        <v>0</v>
      </c>
      <c r="AE477" s="22">
        <v>1189.8900000000001</v>
      </c>
      <c r="AF477" s="22">
        <f t="shared" si="7"/>
        <v>1169.93</v>
      </c>
      <c r="AG477" s="22">
        <v>0</v>
      </c>
      <c r="AH477" s="22">
        <v>1169.93</v>
      </c>
      <c r="AI477" t="s">
        <v>562</v>
      </c>
      <c r="AJ477" t="s">
        <v>1306</v>
      </c>
    </row>
    <row r="478" spans="1:36" ht="72.5" outlineLevel="2" x14ac:dyDescent="0.35">
      <c r="A478" s="19" t="s">
        <v>551</v>
      </c>
      <c r="B478" s="19" t="s">
        <v>986</v>
      </c>
      <c r="C478" s="19" t="s">
        <v>553</v>
      </c>
      <c r="D478" s="19">
        <v>2017</v>
      </c>
      <c r="E478" s="19" t="s">
        <v>1776</v>
      </c>
      <c r="F478" s="19">
        <v>80090339</v>
      </c>
      <c r="G478" s="19" t="s">
        <v>2134</v>
      </c>
      <c r="H478" s="19" t="s">
        <v>2135</v>
      </c>
      <c r="I478" s="19" t="s">
        <v>31</v>
      </c>
      <c r="J478" s="20">
        <v>1</v>
      </c>
      <c r="K478" s="21">
        <v>42926</v>
      </c>
      <c r="L478" s="21">
        <v>42930</v>
      </c>
      <c r="M478" s="21">
        <v>43196</v>
      </c>
      <c r="N478" s="24" t="s">
        <v>2448</v>
      </c>
      <c r="O478" s="19" t="s">
        <v>557</v>
      </c>
      <c r="P478" s="19" t="s">
        <v>665</v>
      </c>
      <c r="Q478" s="19" t="s">
        <v>569</v>
      </c>
      <c r="R478" s="19" t="s">
        <v>570</v>
      </c>
      <c r="S478" s="19" t="s">
        <v>2136</v>
      </c>
      <c r="T478" t="s">
        <v>169</v>
      </c>
      <c r="U478" s="22">
        <v>1503.75</v>
      </c>
      <c r="V478" s="22">
        <v>0</v>
      </c>
      <c r="W478" s="22">
        <v>767.04</v>
      </c>
      <c r="X478" s="22">
        <v>0</v>
      </c>
      <c r="Y478" s="22">
        <v>139.6</v>
      </c>
      <c r="Z478" s="22">
        <v>0</v>
      </c>
      <c r="AA478" s="22">
        <v>0</v>
      </c>
      <c r="AB478" s="22">
        <v>0</v>
      </c>
      <c r="AC478" s="22">
        <v>0</v>
      </c>
      <c r="AD478" s="22">
        <v>0</v>
      </c>
      <c r="AE478" s="22">
        <v>2410.39</v>
      </c>
      <c r="AF478" s="22">
        <f t="shared" si="7"/>
        <v>2410.39</v>
      </c>
      <c r="AG478" s="22">
        <v>0</v>
      </c>
      <c r="AH478" s="22">
        <v>2410.39</v>
      </c>
      <c r="AI478" t="s">
        <v>562</v>
      </c>
      <c r="AJ478" t="s">
        <v>1306</v>
      </c>
    </row>
    <row r="479" spans="1:36" ht="43.5" outlineLevel="2" x14ac:dyDescent="0.35">
      <c r="A479" s="19" t="s">
        <v>551</v>
      </c>
      <c r="B479" s="19" t="s">
        <v>658</v>
      </c>
      <c r="C479" s="19" t="s">
        <v>643</v>
      </c>
      <c r="D479" s="19">
        <v>2017</v>
      </c>
      <c r="E479" s="19" t="s">
        <v>1776</v>
      </c>
      <c r="F479" s="19">
        <v>80090625</v>
      </c>
      <c r="G479" s="19" t="s">
        <v>2137</v>
      </c>
      <c r="H479" s="19" t="s">
        <v>2138</v>
      </c>
      <c r="I479" s="19" t="s">
        <v>31</v>
      </c>
      <c r="J479" s="20">
        <v>1</v>
      </c>
      <c r="K479" s="21">
        <v>42922</v>
      </c>
      <c r="L479" s="21">
        <v>42989</v>
      </c>
      <c r="M479" s="21">
        <v>43038</v>
      </c>
      <c r="N479" s="24" t="s">
        <v>2448</v>
      </c>
      <c r="O479" s="19" t="s">
        <v>557</v>
      </c>
      <c r="P479" s="19" t="s">
        <v>568</v>
      </c>
      <c r="Q479" s="19" t="s">
        <v>655</v>
      </c>
      <c r="R479" s="19" t="s">
        <v>578</v>
      </c>
      <c r="S479" s="19" t="s">
        <v>2139</v>
      </c>
      <c r="T479" t="s">
        <v>62</v>
      </c>
      <c r="U479" s="22">
        <v>0</v>
      </c>
      <c r="V479" s="22">
        <v>0</v>
      </c>
      <c r="W479" s="22">
        <v>306.64</v>
      </c>
      <c r="X479" s="22">
        <v>0</v>
      </c>
      <c r="Y479" s="22">
        <v>23.52</v>
      </c>
      <c r="Z479" s="22">
        <v>0</v>
      </c>
      <c r="AA479" s="22">
        <v>0</v>
      </c>
      <c r="AB479" s="22">
        <v>0</v>
      </c>
      <c r="AC479" s="22">
        <v>0</v>
      </c>
      <c r="AD479" s="22">
        <v>0</v>
      </c>
      <c r="AE479" s="22">
        <v>330.16</v>
      </c>
      <c r="AF479" s="22">
        <f t="shared" si="7"/>
        <v>330.16</v>
      </c>
      <c r="AG479" s="22">
        <v>0</v>
      </c>
      <c r="AH479" s="22">
        <v>330.16</v>
      </c>
      <c r="AI479" t="s">
        <v>562</v>
      </c>
      <c r="AJ479" t="s">
        <v>1306</v>
      </c>
    </row>
    <row r="480" spans="1:36" ht="58" outlineLevel="2" x14ac:dyDescent="0.35">
      <c r="A480" s="19" t="s">
        <v>551</v>
      </c>
      <c r="B480" s="19" t="s">
        <v>572</v>
      </c>
      <c r="C480" s="19" t="s">
        <v>573</v>
      </c>
      <c r="D480" s="19">
        <v>2017</v>
      </c>
      <c r="E480" s="19" t="s">
        <v>1776</v>
      </c>
      <c r="F480" s="19">
        <v>80090313</v>
      </c>
      <c r="G480" s="19" t="s">
        <v>2140</v>
      </c>
      <c r="H480" s="19" t="s">
        <v>2141</v>
      </c>
      <c r="I480" s="19" t="s">
        <v>31</v>
      </c>
      <c r="J480" s="20">
        <v>1</v>
      </c>
      <c r="K480" s="21">
        <v>42919</v>
      </c>
      <c r="L480" s="21">
        <v>42929</v>
      </c>
      <c r="M480" s="21">
        <v>42949</v>
      </c>
      <c r="N480" s="24" t="s">
        <v>2448</v>
      </c>
      <c r="O480" s="19" t="s">
        <v>557</v>
      </c>
      <c r="P480" s="19" t="s">
        <v>665</v>
      </c>
      <c r="Q480" s="19" t="s">
        <v>735</v>
      </c>
      <c r="R480" s="19" t="s">
        <v>570</v>
      </c>
      <c r="S480" s="19" t="s">
        <v>2142</v>
      </c>
      <c r="T480" t="s">
        <v>282</v>
      </c>
      <c r="U480" s="22">
        <v>0</v>
      </c>
      <c r="V480" s="22">
        <v>0</v>
      </c>
      <c r="W480" s="22">
        <v>656.78</v>
      </c>
      <c r="X480" s="22">
        <v>0</v>
      </c>
      <c r="Y480" s="22">
        <v>51.38</v>
      </c>
      <c r="Z480" s="22">
        <v>0</v>
      </c>
      <c r="AA480" s="22">
        <v>0</v>
      </c>
      <c r="AB480" s="22">
        <v>0</v>
      </c>
      <c r="AC480" s="22">
        <v>0</v>
      </c>
      <c r="AD480" s="22">
        <v>0</v>
      </c>
      <c r="AE480" s="22">
        <v>708.16</v>
      </c>
      <c r="AF480" s="22">
        <f t="shared" si="7"/>
        <v>708.16</v>
      </c>
      <c r="AG480" s="22">
        <v>0</v>
      </c>
      <c r="AH480" s="22">
        <v>708.16</v>
      </c>
      <c r="AI480" t="s">
        <v>562</v>
      </c>
      <c r="AJ480" t="s">
        <v>1306</v>
      </c>
    </row>
    <row r="481" spans="1:36" ht="87" outlineLevel="2" x14ac:dyDescent="0.35">
      <c r="A481" s="19" t="s">
        <v>551</v>
      </c>
      <c r="B481" s="19" t="s">
        <v>636</v>
      </c>
      <c r="C481" s="19" t="s">
        <v>594</v>
      </c>
      <c r="D481" s="19">
        <v>2017</v>
      </c>
      <c r="E481" s="19" t="s">
        <v>1776</v>
      </c>
      <c r="F481" s="19">
        <v>80090599</v>
      </c>
      <c r="G481" s="19" t="s">
        <v>2143</v>
      </c>
      <c r="H481" s="19" t="s">
        <v>2144</v>
      </c>
      <c r="I481" s="19" t="s">
        <v>31</v>
      </c>
      <c r="J481" s="20">
        <v>1</v>
      </c>
      <c r="K481" s="21">
        <v>42918</v>
      </c>
      <c r="L481" s="21">
        <v>42921</v>
      </c>
      <c r="M481" s="21">
        <v>43060</v>
      </c>
      <c r="N481" s="24" t="s">
        <v>2448</v>
      </c>
      <c r="O481" s="19" t="s">
        <v>557</v>
      </c>
      <c r="P481" s="19" t="s">
        <v>568</v>
      </c>
      <c r="Q481" s="19" t="s">
        <v>1019</v>
      </c>
      <c r="R481" s="19" t="s">
        <v>708</v>
      </c>
      <c r="S481" s="19" t="s">
        <v>2145</v>
      </c>
      <c r="T481" t="s">
        <v>33</v>
      </c>
      <c r="U481" s="22">
        <v>3157.14</v>
      </c>
      <c r="V481" s="22">
        <v>0</v>
      </c>
      <c r="W481" s="22">
        <v>803.01</v>
      </c>
      <c r="X481" s="22">
        <v>0</v>
      </c>
      <c r="Y481" s="22">
        <v>19</v>
      </c>
      <c r="Z481" s="22">
        <v>0</v>
      </c>
      <c r="AA481" s="22">
        <v>0</v>
      </c>
      <c r="AB481" s="22">
        <v>0</v>
      </c>
      <c r="AC481" s="22">
        <v>0</v>
      </c>
      <c r="AD481" s="22">
        <v>0</v>
      </c>
      <c r="AE481" s="22">
        <v>3979.15</v>
      </c>
      <c r="AF481" s="22">
        <f t="shared" si="7"/>
        <v>3979.15</v>
      </c>
      <c r="AG481" s="22">
        <v>0</v>
      </c>
      <c r="AH481" s="22">
        <v>3979.15</v>
      </c>
      <c r="AI481" t="s">
        <v>562</v>
      </c>
      <c r="AJ481" t="s">
        <v>1306</v>
      </c>
    </row>
    <row r="482" spans="1:36" ht="29" outlineLevel="2" x14ac:dyDescent="0.35">
      <c r="A482" s="19" t="s">
        <v>551</v>
      </c>
      <c r="D482" s="19">
        <v>2017</v>
      </c>
      <c r="E482" s="19" t="s">
        <v>2146</v>
      </c>
      <c r="F482" s="19" t="s">
        <v>835</v>
      </c>
      <c r="K482" s="21"/>
      <c r="L482" s="21"/>
      <c r="N482" s="24" t="s">
        <v>2448</v>
      </c>
      <c r="U482" s="22">
        <v>0</v>
      </c>
      <c r="V482" s="22">
        <v>0</v>
      </c>
      <c r="W482" s="22">
        <v>0</v>
      </c>
      <c r="X482" s="22">
        <v>0</v>
      </c>
      <c r="Y482" s="22">
        <v>0</v>
      </c>
      <c r="Z482" s="22">
        <v>0</v>
      </c>
      <c r="AA482" s="22">
        <v>0</v>
      </c>
      <c r="AB482" s="22">
        <v>0</v>
      </c>
      <c r="AC482" s="22">
        <v>0</v>
      </c>
      <c r="AD482" s="22">
        <v>0</v>
      </c>
      <c r="AE482" s="22">
        <v>0</v>
      </c>
      <c r="AF482" s="22">
        <f t="shared" si="7"/>
        <v>0</v>
      </c>
      <c r="AG482" s="22">
        <v>0</v>
      </c>
      <c r="AH482" s="22">
        <v>0</v>
      </c>
      <c r="AI482" t="s">
        <v>562</v>
      </c>
      <c r="AJ482" t="s">
        <v>1306</v>
      </c>
    </row>
    <row r="483" spans="1:36" ht="87" outlineLevel="2" x14ac:dyDescent="0.35">
      <c r="A483" s="19" t="s">
        <v>551</v>
      </c>
      <c r="B483" s="19" t="s">
        <v>753</v>
      </c>
      <c r="C483" s="19" t="s">
        <v>553</v>
      </c>
      <c r="D483" s="19">
        <v>2016</v>
      </c>
      <c r="E483" s="19" t="s">
        <v>1776</v>
      </c>
      <c r="F483" s="19">
        <v>80090605</v>
      </c>
      <c r="G483" s="19" t="s">
        <v>2147</v>
      </c>
      <c r="H483" s="19" t="s">
        <v>2148</v>
      </c>
      <c r="I483" s="19" t="s">
        <v>31</v>
      </c>
      <c r="J483" s="20">
        <v>1</v>
      </c>
      <c r="K483" s="21">
        <v>42916</v>
      </c>
      <c r="L483" s="21">
        <v>42948</v>
      </c>
      <c r="M483" s="21">
        <v>43010</v>
      </c>
      <c r="N483" s="24" t="s">
        <v>2448</v>
      </c>
      <c r="O483" s="19" t="s">
        <v>557</v>
      </c>
      <c r="P483" s="19" t="s">
        <v>558</v>
      </c>
      <c r="Q483" s="19" t="s">
        <v>610</v>
      </c>
      <c r="R483" s="19" t="s">
        <v>616</v>
      </c>
      <c r="S483" s="19" t="s">
        <v>2149</v>
      </c>
      <c r="T483" t="s">
        <v>85</v>
      </c>
      <c r="U483" s="22">
        <v>0</v>
      </c>
      <c r="V483" s="22">
        <v>0</v>
      </c>
      <c r="W483" s="22">
        <v>772.83</v>
      </c>
      <c r="X483" s="22">
        <v>0</v>
      </c>
      <c r="Y483" s="22">
        <v>221.89</v>
      </c>
      <c r="Z483" s="22">
        <v>0</v>
      </c>
      <c r="AA483" s="22">
        <v>0</v>
      </c>
      <c r="AB483" s="22">
        <v>0</v>
      </c>
      <c r="AC483" s="22">
        <v>0</v>
      </c>
      <c r="AD483" s="22">
        <v>0</v>
      </c>
      <c r="AE483" s="22">
        <v>994.72</v>
      </c>
      <c r="AF483" s="22">
        <f t="shared" si="7"/>
        <v>994.72</v>
      </c>
      <c r="AG483" s="22">
        <v>0</v>
      </c>
      <c r="AH483" s="22">
        <v>994.72</v>
      </c>
      <c r="AI483" t="s">
        <v>562</v>
      </c>
      <c r="AJ483" t="s">
        <v>1306</v>
      </c>
    </row>
    <row r="484" spans="1:36" ht="72.5" outlineLevel="2" x14ac:dyDescent="0.35">
      <c r="A484" s="19" t="s">
        <v>551</v>
      </c>
      <c r="B484" s="19" t="s">
        <v>986</v>
      </c>
      <c r="C484" s="19" t="s">
        <v>553</v>
      </c>
      <c r="D484" s="19">
        <v>2016</v>
      </c>
      <c r="E484" s="19" t="s">
        <v>1776</v>
      </c>
      <c r="F484" s="19">
        <v>80090656</v>
      </c>
      <c r="G484" s="19" t="s">
        <v>2150</v>
      </c>
      <c r="H484" s="19" t="s">
        <v>2151</v>
      </c>
      <c r="I484" s="19" t="s">
        <v>31</v>
      </c>
      <c r="J484" s="20">
        <v>1</v>
      </c>
      <c r="K484" s="21">
        <v>42916</v>
      </c>
      <c r="L484" s="21">
        <v>43157</v>
      </c>
      <c r="M484" s="21">
        <v>43203</v>
      </c>
      <c r="N484" s="24" t="s">
        <v>2448</v>
      </c>
      <c r="O484" s="19" t="s">
        <v>557</v>
      </c>
      <c r="P484" s="19" t="s">
        <v>568</v>
      </c>
      <c r="Q484" s="19" t="s">
        <v>735</v>
      </c>
      <c r="R484" s="19" t="s">
        <v>570</v>
      </c>
      <c r="S484" s="19" t="s">
        <v>2152</v>
      </c>
      <c r="T484" t="s">
        <v>169</v>
      </c>
      <c r="U484" s="22">
        <v>0</v>
      </c>
      <c r="V484" s="22">
        <v>0</v>
      </c>
      <c r="W484" s="22">
        <v>371.48</v>
      </c>
      <c r="X484" s="22">
        <v>0</v>
      </c>
      <c r="Y484" s="22">
        <v>78.53</v>
      </c>
      <c r="Z484" s="22">
        <v>0</v>
      </c>
      <c r="AA484" s="22">
        <v>0</v>
      </c>
      <c r="AB484" s="22">
        <v>0</v>
      </c>
      <c r="AC484" s="22">
        <v>0</v>
      </c>
      <c r="AD484" s="22">
        <v>0</v>
      </c>
      <c r="AE484" s="22">
        <v>450.01</v>
      </c>
      <c r="AF484" s="22">
        <f t="shared" si="7"/>
        <v>450.01</v>
      </c>
      <c r="AG484" s="22">
        <v>0</v>
      </c>
      <c r="AH484" s="22">
        <v>450.01</v>
      </c>
      <c r="AI484" t="s">
        <v>562</v>
      </c>
      <c r="AJ484" t="s">
        <v>1306</v>
      </c>
    </row>
    <row r="485" spans="1:36" ht="58" outlineLevel="2" x14ac:dyDescent="0.35">
      <c r="A485" s="19" t="s">
        <v>551</v>
      </c>
      <c r="B485" s="19" t="s">
        <v>996</v>
      </c>
      <c r="C485" s="19" t="s">
        <v>997</v>
      </c>
      <c r="D485" s="19">
        <v>2016</v>
      </c>
      <c r="E485" s="19" t="s">
        <v>1776</v>
      </c>
      <c r="F485" s="19">
        <v>80090309</v>
      </c>
      <c r="G485" s="19" t="s">
        <v>2153</v>
      </c>
      <c r="H485" s="19" t="s">
        <v>2154</v>
      </c>
      <c r="I485" s="19" t="s">
        <v>31</v>
      </c>
      <c r="J485" s="20">
        <v>1</v>
      </c>
      <c r="K485" s="21">
        <v>42913</v>
      </c>
      <c r="L485" s="21">
        <v>42914</v>
      </c>
      <c r="M485" s="21">
        <v>43119</v>
      </c>
      <c r="N485" s="24" t="s">
        <v>2448</v>
      </c>
      <c r="O485" s="19" t="s">
        <v>557</v>
      </c>
      <c r="P485" s="19" t="s">
        <v>568</v>
      </c>
      <c r="Q485" s="19" t="s">
        <v>590</v>
      </c>
      <c r="R485" s="19" t="s">
        <v>570</v>
      </c>
      <c r="S485" s="19" t="s">
        <v>2155</v>
      </c>
      <c r="T485" t="s">
        <v>51</v>
      </c>
      <c r="U485" s="22">
        <v>0</v>
      </c>
      <c r="V485" s="22">
        <v>0</v>
      </c>
      <c r="W485" s="22">
        <v>1128.8699999999999</v>
      </c>
      <c r="X485" s="22">
        <v>0</v>
      </c>
      <c r="Y485" s="22">
        <v>147.13999999999999</v>
      </c>
      <c r="Z485" s="22">
        <v>0</v>
      </c>
      <c r="AA485" s="22">
        <v>0</v>
      </c>
      <c r="AB485" s="22">
        <v>0</v>
      </c>
      <c r="AC485" s="22">
        <v>0</v>
      </c>
      <c r="AD485" s="22">
        <v>0</v>
      </c>
      <c r="AE485" s="22">
        <v>1276.01</v>
      </c>
      <c r="AF485" s="22">
        <f t="shared" si="7"/>
        <v>1276.01</v>
      </c>
      <c r="AG485" s="22">
        <v>0</v>
      </c>
      <c r="AH485" s="22">
        <v>1276.01</v>
      </c>
      <c r="AI485" t="s">
        <v>562</v>
      </c>
      <c r="AJ485" t="s">
        <v>1306</v>
      </c>
    </row>
    <row r="486" spans="1:36" ht="43.5" outlineLevel="2" x14ac:dyDescent="0.35">
      <c r="A486" s="19" t="s">
        <v>551</v>
      </c>
      <c r="B486" s="19" t="s">
        <v>1015</v>
      </c>
      <c r="C486" s="19" t="s">
        <v>1016</v>
      </c>
      <c r="D486" s="19">
        <v>2016</v>
      </c>
      <c r="E486" s="19" t="s">
        <v>1776</v>
      </c>
      <c r="F486" s="19">
        <v>80090324</v>
      </c>
      <c r="G486" s="19" t="s">
        <v>2156</v>
      </c>
      <c r="H486" s="19" t="s">
        <v>2157</v>
      </c>
      <c r="I486" s="19" t="s">
        <v>31</v>
      </c>
      <c r="J486" s="20">
        <v>1</v>
      </c>
      <c r="K486" s="21">
        <v>42908</v>
      </c>
      <c r="L486" s="21">
        <v>42915</v>
      </c>
      <c r="M486" s="21">
        <v>43344</v>
      </c>
      <c r="N486" s="24" t="s">
        <v>2448</v>
      </c>
      <c r="O486" s="19" t="s">
        <v>557</v>
      </c>
      <c r="P486" s="19" t="s">
        <v>609</v>
      </c>
      <c r="Q486" s="19" t="s">
        <v>569</v>
      </c>
      <c r="R486" s="19" t="s">
        <v>570</v>
      </c>
      <c r="S486" s="19" t="s">
        <v>2158</v>
      </c>
      <c r="T486" t="s">
        <v>1021</v>
      </c>
      <c r="U486" s="22">
        <v>0</v>
      </c>
      <c r="V486" s="22">
        <v>0</v>
      </c>
      <c r="W486" s="22">
        <v>3190.75</v>
      </c>
      <c r="X486" s="22">
        <v>0</v>
      </c>
      <c r="Y486" s="22">
        <v>302.27</v>
      </c>
      <c r="Z486" s="22">
        <v>0</v>
      </c>
      <c r="AA486" s="22">
        <v>0</v>
      </c>
      <c r="AB486" s="22">
        <v>0</v>
      </c>
      <c r="AC486" s="22">
        <v>0</v>
      </c>
      <c r="AD486" s="22">
        <v>0</v>
      </c>
      <c r="AE486" s="22">
        <v>3493.02</v>
      </c>
      <c r="AF486" s="22">
        <f t="shared" si="7"/>
        <v>3493.02</v>
      </c>
      <c r="AG486" s="22">
        <v>0</v>
      </c>
      <c r="AH486" s="22">
        <v>3493.02</v>
      </c>
      <c r="AI486" t="s">
        <v>562</v>
      </c>
      <c r="AJ486" t="s">
        <v>1306</v>
      </c>
    </row>
    <row r="487" spans="1:36" ht="43.5" outlineLevel="2" x14ac:dyDescent="0.35">
      <c r="A487" s="19" t="s">
        <v>551</v>
      </c>
      <c r="B487" s="19" t="s">
        <v>680</v>
      </c>
      <c r="C487" s="19" t="s">
        <v>553</v>
      </c>
      <c r="D487" s="19">
        <v>2016</v>
      </c>
      <c r="E487" s="19" t="s">
        <v>1776</v>
      </c>
      <c r="F487" s="19">
        <v>80090354</v>
      </c>
      <c r="G487" s="19" t="s">
        <v>2159</v>
      </c>
      <c r="H487" s="19" t="s">
        <v>2160</v>
      </c>
      <c r="I487" s="19" t="s">
        <v>31</v>
      </c>
      <c r="J487" s="20">
        <v>1</v>
      </c>
      <c r="K487" s="21">
        <v>42908</v>
      </c>
      <c r="L487" s="21">
        <v>42908</v>
      </c>
      <c r="M487" s="21">
        <v>43472</v>
      </c>
      <c r="N487" s="24" t="s">
        <v>2448</v>
      </c>
      <c r="O487" s="19" t="s">
        <v>557</v>
      </c>
      <c r="P487" s="19" t="s">
        <v>568</v>
      </c>
      <c r="Q487" s="19" t="s">
        <v>778</v>
      </c>
      <c r="R487" s="19" t="s">
        <v>560</v>
      </c>
      <c r="S487" s="19" t="s">
        <v>2161</v>
      </c>
      <c r="T487" t="s">
        <v>45</v>
      </c>
      <c r="U487" s="22">
        <v>9775</v>
      </c>
      <c r="V487" s="22">
        <v>0</v>
      </c>
      <c r="W487" s="22">
        <v>24537.53</v>
      </c>
      <c r="X487" s="22">
        <v>0</v>
      </c>
      <c r="Y487" s="22">
        <v>14174.16</v>
      </c>
      <c r="Z487" s="22">
        <v>0</v>
      </c>
      <c r="AA487" s="22">
        <v>0</v>
      </c>
      <c r="AB487" s="22">
        <v>0</v>
      </c>
      <c r="AC487" s="22">
        <v>0</v>
      </c>
      <c r="AD487" s="22">
        <v>0</v>
      </c>
      <c r="AE487" s="22">
        <v>48486.69</v>
      </c>
      <c r="AF487" s="22">
        <f t="shared" si="7"/>
        <v>48486.69</v>
      </c>
      <c r="AG487" s="22">
        <v>0</v>
      </c>
      <c r="AH487" s="22">
        <v>48486.69</v>
      </c>
      <c r="AI487" t="s">
        <v>562</v>
      </c>
      <c r="AJ487" t="s">
        <v>1306</v>
      </c>
    </row>
    <row r="488" spans="1:36" ht="43.5" outlineLevel="2" x14ac:dyDescent="0.35">
      <c r="A488" s="19" t="s">
        <v>551</v>
      </c>
      <c r="B488" s="19" t="s">
        <v>636</v>
      </c>
      <c r="C488" s="19" t="s">
        <v>594</v>
      </c>
      <c r="D488" s="19">
        <v>2016</v>
      </c>
      <c r="E488" s="19" t="s">
        <v>1776</v>
      </c>
      <c r="F488" s="19">
        <v>80090302</v>
      </c>
      <c r="G488" s="19" t="s">
        <v>2162</v>
      </c>
      <c r="H488" s="19" t="s">
        <v>2163</v>
      </c>
      <c r="I488" s="19" t="s">
        <v>31</v>
      </c>
      <c r="J488" s="20">
        <v>1</v>
      </c>
      <c r="K488" s="21">
        <v>42907</v>
      </c>
      <c r="L488" s="21">
        <v>42909</v>
      </c>
      <c r="M488" s="21">
        <v>43334</v>
      </c>
      <c r="N488" s="24" t="s">
        <v>2448</v>
      </c>
      <c r="O488" s="19" t="s">
        <v>557</v>
      </c>
      <c r="P488" s="19" t="s">
        <v>609</v>
      </c>
      <c r="Q488" s="19" t="s">
        <v>655</v>
      </c>
      <c r="R488" s="19" t="s">
        <v>591</v>
      </c>
      <c r="S488" s="19" t="s">
        <v>2164</v>
      </c>
      <c r="T488" t="s">
        <v>33</v>
      </c>
      <c r="U488" s="22">
        <v>26261.43</v>
      </c>
      <c r="V488" s="22">
        <v>0</v>
      </c>
      <c r="W488" s="22">
        <v>13466.2</v>
      </c>
      <c r="X488" s="22">
        <v>0</v>
      </c>
      <c r="Y488" s="22">
        <v>2593.4499999999998</v>
      </c>
      <c r="Z488" s="22">
        <v>0</v>
      </c>
      <c r="AA488" s="22">
        <v>0</v>
      </c>
      <c r="AB488" s="22">
        <v>0</v>
      </c>
      <c r="AC488" s="22">
        <v>0</v>
      </c>
      <c r="AD488" s="22">
        <v>0</v>
      </c>
      <c r="AE488" s="22">
        <v>42321.08</v>
      </c>
      <c r="AF488" s="22">
        <f t="shared" si="7"/>
        <v>42321.08</v>
      </c>
      <c r="AG488" s="22">
        <v>0</v>
      </c>
      <c r="AH488" s="22">
        <v>42321.08</v>
      </c>
      <c r="AI488" t="s">
        <v>562</v>
      </c>
      <c r="AJ488" t="s">
        <v>1306</v>
      </c>
    </row>
    <row r="489" spans="1:36" ht="87" outlineLevel="2" x14ac:dyDescent="0.35">
      <c r="A489" s="19" t="s">
        <v>551</v>
      </c>
      <c r="B489" s="19" t="s">
        <v>636</v>
      </c>
      <c r="C489" s="19" t="s">
        <v>594</v>
      </c>
      <c r="D489" s="19">
        <v>2016</v>
      </c>
      <c r="E489" s="19" t="s">
        <v>1776</v>
      </c>
      <c r="F489" s="19">
        <v>80090382</v>
      </c>
      <c r="G489" s="19" t="s">
        <v>2165</v>
      </c>
      <c r="H489" s="19" t="s">
        <v>2166</v>
      </c>
      <c r="I489" s="19" t="s">
        <v>31</v>
      </c>
      <c r="J489" s="20">
        <v>1</v>
      </c>
      <c r="K489" s="21">
        <v>42907</v>
      </c>
      <c r="L489" s="21">
        <v>42908</v>
      </c>
      <c r="M489" s="21">
        <v>42957</v>
      </c>
      <c r="N489" s="24" t="s">
        <v>2448</v>
      </c>
      <c r="O489" s="19" t="s">
        <v>557</v>
      </c>
      <c r="P489" s="19" t="s">
        <v>576</v>
      </c>
      <c r="Q489" s="19" t="s">
        <v>639</v>
      </c>
      <c r="R489" s="19" t="s">
        <v>640</v>
      </c>
      <c r="S489" s="19" t="s">
        <v>2167</v>
      </c>
      <c r="T489" t="s">
        <v>33</v>
      </c>
      <c r="U489" s="22">
        <v>0</v>
      </c>
      <c r="V489" s="22">
        <v>0</v>
      </c>
      <c r="W489" s="22">
        <v>237.24</v>
      </c>
      <c r="X489" s="22">
        <v>0</v>
      </c>
      <c r="Y489" s="22">
        <v>43.63</v>
      </c>
      <c r="Z489" s="22">
        <v>0</v>
      </c>
      <c r="AA489" s="22">
        <v>0</v>
      </c>
      <c r="AB489" s="22">
        <v>0</v>
      </c>
      <c r="AC489" s="22">
        <v>0</v>
      </c>
      <c r="AD489" s="22">
        <v>0</v>
      </c>
      <c r="AE489" s="22">
        <v>280.87</v>
      </c>
      <c r="AF489" s="22">
        <f t="shared" si="7"/>
        <v>280.87</v>
      </c>
      <c r="AG489" s="22">
        <v>0</v>
      </c>
      <c r="AH489" s="22">
        <v>280.87</v>
      </c>
      <c r="AI489" t="s">
        <v>562</v>
      </c>
      <c r="AJ489" t="s">
        <v>1306</v>
      </c>
    </row>
    <row r="490" spans="1:36" ht="58" outlineLevel="2" x14ac:dyDescent="0.35">
      <c r="A490" s="19" t="s">
        <v>551</v>
      </c>
      <c r="B490" s="19" t="s">
        <v>986</v>
      </c>
      <c r="C490" s="19" t="s">
        <v>553</v>
      </c>
      <c r="D490" s="19">
        <v>2016</v>
      </c>
      <c r="E490" s="19" t="s">
        <v>1776</v>
      </c>
      <c r="F490" s="19">
        <v>80090415</v>
      </c>
      <c r="G490" s="19" t="s">
        <v>2168</v>
      </c>
      <c r="H490" s="19" t="s">
        <v>2169</v>
      </c>
      <c r="I490" s="19" t="s">
        <v>31</v>
      </c>
      <c r="J490" s="20">
        <v>1</v>
      </c>
      <c r="K490" s="21">
        <v>42905</v>
      </c>
      <c r="L490" s="21">
        <v>42922</v>
      </c>
      <c r="M490" s="21">
        <v>42978</v>
      </c>
      <c r="N490" s="24" t="s">
        <v>2448</v>
      </c>
      <c r="O490" s="19" t="s">
        <v>557</v>
      </c>
      <c r="P490" s="19" t="s">
        <v>609</v>
      </c>
      <c r="Q490" s="19" t="s">
        <v>577</v>
      </c>
      <c r="R490" s="19" t="s">
        <v>578</v>
      </c>
      <c r="S490" s="19" t="s">
        <v>2170</v>
      </c>
      <c r="T490" t="s">
        <v>169</v>
      </c>
      <c r="U490" s="22">
        <v>0</v>
      </c>
      <c r="V490" s="22">
        <v>0</v>
      </c>
      <c r="W490" s="22">
        <v>0</v>
      </c>
      <c r="X490" s="22">
        <v>0</v>
      </c>
      <c r="Y490" s="22">
        <v>0</v>
      </c>
      <c r="Z490" s="22">
        <v>0</v>
      </c>
      <c r="AA490" s="22">
        <v>0</v>
      </c>
      <c r="AB490" s="22">
        <v>0</v>
      </c>
      <c r="AC490" s="22">
        <v>0</v>
      </c>
      <c r="AD490" s="22">
        <v>0</v>
      </c>
      <c r="AE490" s="22">
        <v>0</v>
      </c>
      <c r="AF490" s="22">
        <f t="shared" si="7"/>
        <v>0</v>
      </c>
      <c r="AG490" s="22">
        <v>0</v>
      </c>
      <c r="AH490" s="22">
        <v>0</v>
      </c>
      <c r="AI490" t="s">
        <v>562</v>
      </c>
      <c r="AJ490" t="s">
        <v>1306</v>
      </c>
    </row>
    <row r="491" spans="1:36" ht="72.5" outlineLevel="2" x14ac:dyDescent="0.35">
      <c r="A491" s="19" t="s">
        <v>551</v>
      </c>
      <c r="B491" s="19" t="s">
        <v>636</v>
      </c>
      <c r="C491" s="19" t="s">
        <v>594</v>
      </c>
      <c r="D491" s="19">
        <v>2016</v>
      </c>
      <c r="E491" s="19" t="s">
        <v>1776</v>
      </c>
      <c r="F491" s="19">
        <v>80090440</v>
      </c>
      <c r="G491" s="19" t="s">
        <v>2171</v>
      </c>
      <c r="H491" s="19" t="s">
        <v>2172</v>
      </c>
      <c r="I491" s="19" t="s">
        <v>31</v>
      </c>
      <c r="J491" s="20">
        <v>1</v>
      </c>
      <c r="K491" s="21">
        <v>42905</v>
      </c>
      <c r="L491" s="21">
        <v>42906</v>
      </c>
      <c r="M491" s="21">
        <v>42954</v>
      </c>
      <c r="N491" s="24" t="s">
        <v>2448</v>
      </c>
      <c r="O491" s="19" t="s">
        <v>557</v>
      </c>
      <c r="P491" s="19" t="s">
        <v>609</v>
      </c>
      <c r="Q491" s="19" t="s">
        <v>655</v>
      </c>
      <c r="R491" s="19" t="s">
        <v>570</v>
      </c>
      <c r="S491" s="19" t="s">
        <v>2173</v>
      </c>
      <c r="T491" t="s">
        <v>33</v>
      </c>
      <c r="U491" s="22">
        <v>0</v>
      </c>
      <c r="V491" s="22">
        <v>0</v>
      </c>
      <c r="W491" s="22">
        <v>0</v>
      </c>
      <c r="X491" s="22">
        <v>0</v>
      </c>
      <c r="Y491" s="22">
        <v>0</v>
      </c>
      <c r="Z491" s="22">
        <v>0</v>
      </c>
      <c r="AA491" s="22">
        <v>0</v>
      </c>
      <c r="AB491" s="22">
        <v>0</v>
      </c>
      <c r="AC491" s="22">
        <v>0</v>
      </c>
      <c r="AD491" s="22">
        <v>0</v>
      </c>
      <c r="AE491" s="22">
        <v>0</v>
      </c>
      <c r="AF491" s="22">
        <f t="shared" si="7"/>
        <v>0</v>
      </c>
      <c r="AG491" s="22">
        <v>0</v>
      </c>
      <c r="AH491" s="22">
        <v>0</v>
      </c>
      <c r="AI491" t="s">
        <v>562</v>
      </c>
      <c r="AJ491" t="s">
        <v>1306</v>
      </c>
    </row>
    <row r="492" spans="1:36" ht="29" outlineLevel="2" x14ac:dyDescent="0.35">
      <c r="A492" s="19" t="s">
        <v>551</v>
      </c>
      <c r="B492" s="19" t="s">
        <v>636</v>
      </c>
      <c r="C492" s="19" t="s">
        <v>594</v>
      </c>
      <c r="D492" s="19">
        <v>2016</v>
      </c>
      <c r="E492" s="19" t="s">
        <v>1776</v>
      </c>
      <c r="F492" s="19">
        <v>80090370</v>
      </c>
      <c r="G492" s="19" t="s">
        <v>2174</v>
      </c>
      <c r="H492" s="19" t="s">
        <v>2175</v>
      </c>
      <c r="I492" s="19" t="s">
        <v>31</v>
      </c>
      <c r="J492" s="20">
        <v>1</v>
      </c>
      <c r="K492" s="21">
        <v>42900</v>
      </c>
      <c r="L492" s="21">
        <v>42900</v>
      </c>
      <c r="M492" s="21">
        <v>43693</v>
      </c>
      <c r="N492" s="24" t="s">
        <v>2448</v>
      </c>
      <c r="O492" s="19" t="s">
        <v>557</v>
      </c>
      <c r="P492" s="19" t="s">
        <v>609</v>
      </c>
      <c r="Q492" s="19" t="s">
        <v>597</v>
      </c>
      <c r="R492" s="19" t="s">
        <v>708</v>
      </c>
      <c r="S492" s="19" t="s">
        <v>2176</v>
      </c>
      <c r="T492" t="s">
        <v>33</v>
      </c>
      <c r="U492" s="22">
        <v>61065.43</v>
      </c>
      <c r="V492" s="22">
        <v>0</v>
      </c>
      <c r="W492" s="22">
        <v>3914.9</v>
      </c>
      <c r="X492" s="22">
        <v>0</v>
      </c>
      <c r="Y492" s="22">
        <v>23153.24</v>
      </c>
      <c r="Z492" s="22">
        <v>0</v>
      </c>
      <c r="AA492" s="22">
        <v>0</v>
      </c>
      <c r="AB492" s="22">
        <v>0</v>
      </c>
      <c r="AC492" s="22">
        <v>0</v>
      </c>
      <c r="AD492" s="22">
        <v>0</v>
      </c>
      <c r="AE492" s="22">
        <v>88133.57</v>
      </c>
      <c r="AF492" s="22">
        <f t="shared" si="7"/>
        <v>88133.57</v>
      </c>
      <c r="AG492" s="22">
        <v>0</v>
      </c>
      <c r="AH492" s="22">
        <v>88133.57</v>
      </c>
      <c r="AI492" t="s">
        <v>562</v>
      </c>
      <c r="AJ492" t="s">
        <v>1306</v>
      </c>
    </row>
    <row r="493" spans="1:36" ht="43.5" outlineLevel="2" x14ac:dyDescent="0.35">
      <c r="A493" s="19" t="s">
        <v>551</v>
      </c>
      <c r="B493" s="19" t="s">
        <v>2177</v>
      </c>
      <c r="C493" s="19" t="s">
        <v>2178</v>
      </c>
      <c r="D493" s="19">
        <v>2016</v>
      </c>
      <c r="E493" s="19" t="s">
        <v>1776</v>
      </c>
      <c r="F493" s="19">
        <v>80090504</v>
      </c>
      <c r="G493" s="19" t="s">
        <v>2179</v>
      </c>
      <c r="H493" s="19" t="s">
        <v>2180</v>
      </c>
      <c r="I493" s="19" t="s">
        <v>31</v>
      </c>
      <c r="J493" s="20">
        <v>1</v>
      </c>
      <c r="K493" s="21">
        <v>42900</v>
      </c>
      <c r="L493" s="21">
        <v>42913</v>
      </c>
      <c r="M493" s="21">
        <v>42991</v>
      </c>
      <c r="N493" s="24" t="s">
        <v>2448</v>
      </c>
      <c r="O493" s="19" t="s">
        <v>557</v>
      </c>
      <c r="P493" s="19" t="s">
        <v>665</v>
      </c>
      <c r="Q493" s="19" t="s">
        <v>634</v>
      </c>
      <c r="R493" s="19" t="s">
        <v>708</v>
      </c>
      <c r="S493" s="19" t="s">
        <v>2181</v>
      </c>
      <c r="T493" t="s">
        <v>98</v>
      </c>
      <c r="U493" s="22">
        <v>0</v>
      </c>
      <c r="V493" s="22">
        <v>0</v>
      </c>
      <c r="W493" s="22">
        <v>538.79</v>
      </c>
      <c r="X493" s="22">
        <v>0</v>
      </c>
      <c r="Y493" s="22">
        <v>34.5</v>
      </c>
      <c r="Z493" s="22">
        <v>0</v>
      </c>
      <c r="AA493" s="22">
        <v>0</v>
      </c>
      <c r="AB493" s="22">
        <v>0</v>
      </c>
      <c r="AC493" s="22">
        <v>0</v>
      </c>
      <c r="AD493" s="22">
        <v>0</v>
      </c>
      <c r="AE493" s="22">
        <v>573.29</v>
      </c>
      <c r="AF493" s="22">
        <f t="shared" si="7"/>
        <v>573.29</v>
      </c>
      <c r="AG493" s="22">
        <v>0</v>
      </c>
      <c r="AH493" s="22">
        <v>573.29</v>
      </c>
      <c r="AI493" t="s">
        <v>562</v>
      </c>
      <c r="AJ493" t="s">
        <v>1306</v>
      </c>
    </row>
    <row r="494" spans="1:36" ht="58" outlineLevel="2" x14ac:dyDescent="0.35">
      <c r="A494" s="19" t="s">
        <v>551</v>
      </c>
      <c r="B494" s="19" t="s">
        <v>636</v>
      </c>
      <c r="C494" s="19" t="s">
        <v>594</v>
      </c>
      <c r="D494" s="19">
        <v>2016</v>
      </c>
      <c r="E494" s="19" t="s">
        <v>1776</v>
      </c>
      <c r="F494" s="19">
        <v>80090319</v>
      </c>
      <c r="G494" s="19" t="s">
        <v>2182</v>
      </c>
      <c r="H494" s="19" t="s">
        <v>2183</v>
      </c>
      <c r="I494" s="19" t="s">
        <v>31</v>
      </c>
      <c r="J494" s="20">
        <v>1</v>
      </c>
      <c r="K494" s="21">
        <v>42899</v>
      </c>
      <c r="L494" s="21">
        <v>42900</v>
      </c>
      <c r="M494" s="21">
        <v>44771</v>
      </c>
      <c r="N494" s="24" t="s">
        <v>2448</v>
      </c>
      <c r="O494" s="19" t="s">
        <v>557</v>
      </c>
      <c r="P494" s="19" t="s">
        <v>568</v>
      </c>
      <c r="Q494" s="19" t="s">
        <v>655</v>
      </c>
      <c r="R494" s="19" t="s">
        <v>708</v>
      </c>
      <c r="S494" s="19" t="s">
        <v>2184</v>
      </c>
      <c r="T494" t="s">
        <v>33</v>
      </c>
      <c r="U494" s="22">
        <v>9888.67</v>
      </c>
      <c r="V494" s="22">
        <v>0</v>
      </c>
      <c r="W494" s="22">
        <v>6249.45</v>
      </c>
      <c r="X494" s="22">
        <v>0</v>
      </c>
      <c r="Y494" s="22">
        <v>351.28</v>
      </c>
      <c r="Z494" s="22">
        <v>0</v>
      </c>
      <c r="AA494" s="22">
        <v>0</v>
      </c>
      <c r="AB494" s="22">
        <v>-6.72</v>
      </c>
      <c r="AC494" s="22">
        <v>0</v>
      </c>
      <c r="AD494" s="22">
        <v>0</v>
      </c>
      <c r="AE494" s="22">
        <v>16489.400000000001</v>
      </c>
      <c r="AF494" s="22">
        <f t="shared" si="7"/>
        <v>16482.68</v>
      </c>
      <c r="AG494" s="22">
        <v>0</v>
      </c>
      <c r="AH494" s="22">
        <v>16482.68</v>
      </c>
      <c r="AI494" t="s">
        <v>562</v>
      </c>
      <c r="AJ494" t="s">
        <v>1306</v>
      </c>
    </row>
    <row r="495" spans="1:36" ht="43.5" outlineLevel="2" x14ac:dyDescent="0.35">
      <c r="A495" s="19" t="s">
        <v>551</v>
      </c>
      <c r="B495" s="19" t="s">
        <v>986</v>
      </c>
      <c r="C495" s="19" t="s">
        <v>553</v>
      </c>
      <c r="D495" s="19">
        <v>2016</v>
      </c>
      <c r="E495" s="19" t="s">
        <v>1776</v>
      </c>
      <c r="F495" s="19">
        <v>80090496</v>
      </c>
      <c r="G495" s="19" t="s">
        <v>2185</v>
      </c>
      <c r="H495" s="19" t="s">
        <v>2186</v>
      </c>
      <c r="I495" s="19" t="s">
        <v>31</v>
      </c>
      <c r="J495" s="20">
        <v>1</v>
      </c>
      <c r="K495" s="21">
        <v>42899</v>
      </c>
      <c r="L495" s="21">
        <v>42909</v>
      </c>
      <c r="M495" s="21">
        <v>43047</v>
      </c>
      <c r="N495" s="24" t="s">
        <v>2448</v>
      </c>
      <c r="O495" s="19" t="s">
        <v>557</v>
      </c>
      <c r="P495" s="19" t="s">
        <v>609</v>
      </c>
      <c r="Q495" s="19" t="s">
        <v>655</v>
      </c>
      <c r="R495" s="19" t="s">
        <v>578</v>
      </c>
      <c r="S495" s="19" t="s">
        <v>2187</v>
      </c>
      <c r="T495" t="s">
        <v>169</v>
      </c>
      <c r="U495" s="22">
        <v>0</v>
      </c>
      <c r="V495" s="22">
        <v>0</v>
      </c>
      <c r="W495" s="22">
        <v>1097.58</v>
      </c>
      <c r="X495" s="22">
        <v>0</v>
      </c>
      <c r="Y495" s="22">
        <v>32.92</v>
      </c>
      <c r="Z495" s="22">
        <v>0</v>
      </c>
      <c r="AA495" s="22">
        <v>0</v>
      </c>
      <c r="AB495" s="22">
        <v>0</v>
      </c>
      <c r="AC495" s="22">
        <v>0</v>
      </c>
      <c r="AD495" s="22">
        <v>0</v>
      </c>
      <c r="AE495" s="22">
        <v>1130.5</v>
      </c>
      <c r="AF495" s="22">
        <f t="shared" si="7"/>
        <v>1130.5</v>
      </c>
      <c r="AG495" s="22">
        <v>0</v>
      </c>
      <c r="AH495" s="22">
        <v>1130.5</v>
      </c>
      <c r="AI495" t="s">
        <v>562</v>
      </c>
      <c r="AJ495" t="s">
        <v>1306</v>
      </c>
    </row>
    <row r="496" spans="1:36" ht="72.5" outlineLevel="2" x14ac:dyDescent="0.35">
      <c r="A496" s="19" t="s">
        <v>551</v>
      </c>
      <c r="B496" s="19" t="s">
        <v>636</v>
      </c>
      <c r="C496" s="19" t="s">
        <v>594</v>
      </c>
      <c r="D496" s="19">
        <v>2016</v>
      </c>
      <c r="E496" s="19" t="s">
        <v>1776</v>
      </c>
      <c r="F496" s="19">
        <v>80090300</v>
      </c>
      <c r="G496" s="19" t="s">
        <v>2188</v>
      </c>
      <c r="H496" s="19" t="s">
        <v>2189</v>
      </c>
      <c r="I496" s="19" t="s">
        <v>31</v>
      </c>
      <c r="J496" s="20">
        <v>1</v>
      </c>
      <c r="K496" s="21">
        <v>42892</v>
      </c>
      <c r="L496" s="21">
        <v>42894</v>
      </c>
      <c r="M496" s="21">
        <v>42943</v>
      </c>
      <c r="N496" s="24" t="s">
        <v>2448</v>
      </c>
      <c r="O496" s="19" t="s">
        <v>557</v>
      </c>
      <c r="P496" s="19" t="s">
        <v>609</v>
      </c>
      <c r="Q496" s="19" t="s">
        <v>597</v>
      </c>
      <c r="R496" s="19" t="s">
        <v>570</v>
      </c>
      <c r="S496" s="19" t="s">
        <v>2190</v>
      </c>
      <c r="T496" t="s">
        <v>33</v>
      </c>
      <c r="U496" s="22">
        <v>0</v>
      </c>
      <c r="V496" s="22">
        <v>0</v>
      </c>
      <c r="W496" s="22">
        <v>100</v>
      </c>
      <c r="X496" s="22">
        <v>0</v>
      </c>
      <c r="Y496" s="22">
        <v>15.1</v>
      </c>
      <c r="Z496" s="22">
        <v>0</v>
      </c>
      <c r="AA496" s="22">
        <v>0</v>
      </c>
      <c r="AB496" s="22">
        <v>0</v>
      </c>
      <c r="AC496" s="22">
        <v>0</v>
      </c>
      <c r="AD496" s="22">
        <v>0</v>
      </c>
      <c r="AE496" s="22">
        <v>115.1</v>
      </c>
      <c r="AF496" s="22">
        <f t="shared" si="7"/>
        <v>115.1</v>
      </c>
      <c r="AG496" s="22">
        <v>0</v>
      </c>
      <c r="AH496" s="22">
        <v>115.1</v>
      </c>
      <c r="AI496" t="s">
        <v>562</v>
      </c>
      <c r="AJ496" t="s">
        <v>1306</v>
      </c>
    </row>
    <row r="497" spans="1:36" ht="72.5" outlineLevel="2" x14ac:dyDescent="0.35">
      <c r="A497" s="19" t="s">
        <v>551</v>
      </c>
      <c r="B497" s="19" t="s">
        <v>572</v>
      </c>
      <c r="C497" s="19" t="s">
        <v>573</v>
      </c>
      <c r="D497" s="19">
        <v>2016</v>
      </c>
      <c r="E497" s="19" t="s">
        <v>1776</v>
      </c>
      <c r="F497" s="19">
        <v>80090304</v>
      </c>
      <c r="G497" s="19" t="s">
        <v>2191</v>
      </c>
      <c r="H497" s="19" t="s">
        <v>2192</v>
      </c>
      <c r="I497" s="19" t="s">
        <v>31</v>
      </c>
      <c r="J497" s="20">
        <v>1</v>
      </c>
      <c r="K497" s="21">
        <v>42892</v>
      </c>
      <c r="L497" s="21">
        <v>42894</v>
      </c>
      <c r="M497" s="21">
        <v>43138</v>
      </c>
      <c r="N497" s="24" t="s">
        <v>2448</v>
      </c>
      <c r="O497" s="19" t="s">
        <v>557</v>
      </c>
      <c r="P497" s="19" t="s">
        <v>576</v>
      </c>
      <c r="Q497" s="19" t="s">
        <v>577</v>
      </c>
      <c r="R497" s="19" t="s">
        <v>715</v>
      </c>
      <c r="S497" s="19" t="s">
        <v>2193</v>
      </c>
      <c r="T497" t="s">
        <v>139</v>
      </c>
      <c r="U497" s="22">
        <v>0</v>
      </c>
      <c r="V497" s="22">
        <v>0</v>
      </c>
      <c r="W497" s="22">
        <v>2090.02</v>
      </c>
      <c r="X497" s="22">
        <v>0</v>
      </c>
      <c r="Y497" s="22">
        <v>172.14</v>
      </c>
      <c r="Z497" s="22">
        <v>0</v>
      </c>
      <c r="AA497" s="22">
        <v>0</v>
      </c>
      <c r="AB497" s="22">
        <v>-138.69999999999999</v>
      </c>
      <c r="AC497" s="22">
        <v>0</v>
      </c>
      <c r="AD497" s="22">
        <v>0</v>
      </c>
      <c r="AE497" s="22">
        <v>2262.16</v>
      </c>
      <c r="AF497" s="22">
        <f t="shared" si="7"/>
        <v>2123.46</v>
      </c>
      <c r="AG497" s="22">
        <v>0</v>
      </c>
      <c r="AH497" s="22">
        <v>2123.46</v>
      </c>
      <c r="AI497" t="s">
        <v>562</v>
      </c>
      <c r="AJ497" t="s">
        <v>1306</v>
      </c>
    </row>
    <row r="498" spans="1:36" ht="58" outlineLevel="2" x14ac:dyDescent="0.35">
      <c r="A498" s="19" t="s">
        <v>551</v>
      </c>
      <c r="B498" s="19" t="s">
        <v>572</v>
      </c>
      <c r="C498" s="19" t="s">
        <v>573</v>
      </c>
      <c r="D498" s="19">
        <v>2016</v>
      </c>
      <c r="E498" s="19" t="s">
        <v>1776</v>
      </c>
      <c r="F498" s="19">
        <v>80090315</v>
      </c>
      <c r="G498" s="19" t="s">
        <v>2194</v>
      </c>
      <c r="H498" s="19" t="s">
        <v>2195</v>
      </c>
      <c r="I498" s="19" t="s">
        <v>31</v>
      </c>
      <c r="J498" s="20">
        <v>1</v>
      </c>
      <c r="K498" s="21">
        <v>42882</v>
      </c>
      <c r="L498" s="21">
        <v>42886</v>
      </c>
      <c r="M498" s="21">
        <v>42907</v>
      </c>
      <c r="N498" s="24" t="s">
        <v>2448</v>
      </c>
      <c r="O498" s="19" t="s">
        <v>557</v>
      </c>
      <c r="P498" s="19" t="s">
        <v>568</v>
      </c>
      <c r="Q498" s="19" t="s">
        <v>735</v>
      </c>
      <c r="R498" s="19" t="s">
        <v>570</v>
      </c>
      <c r="S498" s="19" t="s">
        <v>2196</v>
      </c>
      <c r="T498" t="s">
        <v>139</v>
      </c>
      <c r="U498" s="22">
        <v>0</v>
      </c>
      <c r="V498" s="22">
        <v>0</v>
      </c>
      <c r="W498" s="22">
        <v>141.38</v>
      </c>
      <c r="X498" s="22">
        <v>0</v>
      </c>
      <c r="Y498" s="22">
        <v>10.31</v>
      </c>
      <c r="Z498" s="22">
        <v>0</v>
      </c>
      <c r="AA498" s="22">
        <v>0</v>
      </c>
      <c r="AB498" s="22">
        <v>0</v>
      </c>
      <c r="AC498" s="22">
        <v>0</v>
      </c>
      <c r="AD498" s="22">
        <v>0</v>
      </c>
      <c r="AE498" s="22">
        <v>151.69</v>
      </c>
      <c r="AF498" s="22">
        <f t="shared" si="7"/>
        <v>151.69</v>
      </c>
      <c r="AG498" s="22">
        <v>0</v>
      </c>
      <c r="AH498" s="22">
        <v>151.69</v>
      </c>
      <c r="AI498" t="s">
        <v>562</v>
      </c>
      <c r="AJ498" t="s">
        <v>1306</v>
      </c>
    </row>
    <row r="499" spans="1:36" ht="58" outlineLevel="2" x14ac:dyDescent="0.35">
      <c r="A499" s="19" t="s">
        <v>551</v>
      </c>
      <c r="B499" s="19" t="s">
        <v>636</v>
      </c>
      <c r="C499" s="19" t="s">
        <v>594</v>
      </c>
      <c r="D499" s="19">
        <v>2016</v>
      </c>
      <c r="E499" s="19" t="s">
        <v>1776</v>
      </c>
      <c r="F499" s="19">
        <v>80090314</v>
      </c>
      <c r="G499" s="19" t="s">
        <v>2197</v>
      </c>
      <c r="H499" s="19" t="s">
        <v>2198</v>
      </c>
      <c r="I499" s="19" t="s">
        <v>31</v>
      </c>
      <c r="J499" s="20">
        <v>1</v>
      </c>
      <c r="K499" s="21">
        <v>42880</v>
      </c>
      <c r="L499" s="21">
        <v>42881</v>
      </c>
      <c r="M499" s="21">
        <v>42927</v>
      </c>
      <c r="N499" s="24" t="s">
        <v>2448</v>
      </c>
      <c r="O499" s="19" t="s">
        <v>557</v>
      </c>
      <c r="P499" s="19" t="s">
        <v>609</v>
      </c>
      <c r="Q499" s="19" t="s">
        <v>634</v>
      </c>
      <c r="R499" s="19" t="s">
        <v>570</v>
      </c>
      <c r="S499" s="19" t="s">
        <v>2199</v>
      </c>
      <c r="T499" t="s">
        <v>33</v>
      </c>
      <c r="U499" s="22">
        <v>0</v>
      </c>
      <c r="V499" s="22">
        <v>0</v>
      </c>
      <c r="W499" s="22">
        <v>0</v>
      </c>
      <c r="X499" s="22">
        <v>0</v>
      </c>
      <c r="Y499" s="22">
        <v>0</v>
      </c>
      <c r="Z499" s="22">
        <v>0</v>
      </c>
      <c r="AA499" s="22">
        <v>0</v>
      </c>
      <c r="AB499" s="22">
        <v>0</v>
      </c>
      <c r="AC499" s="22">
        <v>0</v>
      </c>
      <c r="AD499" s="22">
        <v>0</v>
      </c>
      <c r="AE499" s="22">
        <v>0</v>
      </c>
      <c r="AF499" s="22">
        <f t="shared" si="7"/>
        <v>0</v>
      </c>
      <c r="AG499" s="22">
        <v>0</v>
      </c>
      <c r="AH499" s="22">
        <v>0</v>
      </c>
      <c r="AI499" t="s">
        <v>562</v>
      </c>
      <c r="AJ499" t="s">
        <v>1306</v>
      </c>
    </row>
    <row r="500" spans="1:36" ht="43.5" outlineLevel="2" x14ac:dyDescent="0.35">
      <c r="A500" s="19" t="s">
        <v>551</v>
      </c>
      <c r="B500" s="19" t="s">
        <v>636</v>
      </c>
      <c r="C500" s="19" t="s">
        <v>594</v>
      </c>
      <c r="D500" s="19">
        <v>2016</v>
      </c>
      <c r="E500" s="19" t="s">
        <v>1776</v>
      </c>
      <c r="F500" s="19">
        <v>80090284</v>
      </c>
      <c r="G500" s="19" t="s">
        <v>2200</v>
      </c>
      <c r="H500" s="19" t="s">
        <v>2201</v>
      </c>
      <c r="I500" s="19" t="s">
        <v>31</v>
      </c>
      <c r="J500" s="20">
        <v>1</v>
      </c>
      <c r="K500" s="21">
        <v>42878</v>
      </c>
      <c r="L500" s="21">
        <v>42879</v>
      </c>
      <c r="M500" s="21">
        <v>42923</v>
      </c>
      <c r="N500" s="24" t="s">
        <v>2448</v>
      </c>
      <c r="O500" s="19" t="s">
        <v>557</v>
      </c>
      <c r="P500" s="19" t="s">
        <v>568</v>
      </c>
      <c r="Q500" s="19" t="s">
        <v>655</v>
      </c>
      <c r="R500" s="19" t="s">
        <v>578</v>
      </c>
      <c r="S500" s="19" t="s">
        <v>2202</v>
      </c>
      <c r="T500" t="s">
        <v>223</v>
      </c>
      <c r="U500" s="22">
        <v>0</v>
      </c>
      <c r="V500" s="22">
        <v>0</v>
      </c>
      <c r="W500" s="22">
        <v>389.48</v>
      </c>
      <c r="X500" s="22">
        <v>0</v>
      </c>
      <c r="Y500" s="22">
        <v>44.46</v>
      </c>
      <c r="Z500" s="22">
        <v>0</v>
      </c>
      <c r="AA500" s="22">
        <v>0</v>
      </c>
      <c r="AB500" s="22">
        <v>0</v>
      </c>
      <c r="AC500" s="22">
        <v>0</v>
      </c>
      <c r="AD500" s="22">
        <v>0</v>
      </c>
      <c r="AE500" s="22">
        <v>433.94</v>
      </c>
      <c r="AF500" s="22">
        <f t="shared" si="7"/>
        <v>433.94</v>
      </c>
      <c r="AG500" s="22">
        <v>0</v>
      </c>
      <c r="AH500" s="22">
        <v>433.94</v>
      </c>
      <c r="AI500" t="s">
        <v>562</v>
      </c>
      <c r="AJ500" t="s">
        <v>1306</v>
      </c>
    </row>
    <row r="501" spans="1:36" ht="116" outlineLevel="2" x14ac:dyDescent="0.35">
      <c r="A501" s="19" t="s">
        <v>551</v>
      </c>
      <c r="B501" s="19" t="s">
        <v>636</v>
      </c>
      <c r="C501" s="19" t="s">
        <v>594</v>
      </c>
      <c r="D501" s="19">
        <v>2016</v>
      </c>
      <c r="E501" s="19" t="s">
        <v>1776</v>
      </c>
      <c r="F501" s="19">
        <v>80090288</v>
      </c>
      <c r="G501" s="19" t="s">
        <v>2203</v>
      </c>
      <c r="H501" s="19" t="s">
        <v>2204</v>
      </c>
      <c r="I501" s="19" t="s">
        <v>31</v>
      </c>
      <c r="J501" s="20">
        <v>1</v>
      </c>
      <c r="K501" s="21">
        <v>42874</v>
      </c>
      <c r="L501" s="21">
        <v>42878</v>
      </c>
      <c r="M501" s="21">
        <v>43767</v>
      </c>
      <c r="N501" s="24" t="s">
        <v>2448</v>
      </c>
      <c r="O501" s="19" t="s">
        <v>557</v>
      </c>
      <c r="P501" s="19" t="s">
        <v>558</v>
      </c>
      <c r="Q501" s="19" t="s">
        <v>661</v>
      </c>
      <c r="R501" s="19" t="s">
        <v>570</v>
      </c>
      <c r="S501" s="19" t="s">
        <v>2205</v>
      </c>
      <c r="T501" t="s">
        <v>33</v>
      </c>
      <c r="U501" s="22">
        <v>3632.44</v>
      </c>
      <c r="V501" s="22">
        <v>0</v>
      </c>
      <c r="W501" s="22">
        <v>1372.83</v>
      </c>
      <c r="X501" s="22">
        <v>0</v>
      </c>
      <c r="Y501" s="22">
        <v>857.93</v>
      </c>
      <c r="Z501" s="22">
        <v>0</v>
      </c>
      <c r="AA501" s="22">
        <v>-3335.21</v>
      </c>
      <c r="AB501" s="22">
        <v>0</v>
      </c>
      <c r="AC501" s="22">
        <v>0</v>
      </c>
      <c r="AD501" s="22">
        <v>0</v>
      </c>
      <c r="AE501" s="22">
        <v>5863.2</v>
      </c>
      <c r="AF501" s="22">
        <f t="shared" si="7"/>
        <v>2527.9899999999998</v>
      </c>
      <c r="AG501" s="22">
        <v>0</v>
      </c>
      <c r="AH501" s="22">
        <v>2527.9899999999998</v>
      </c>
      <c r="AI501" t="s">
        <v>562</v>
      </c>
      <c r="AJ501" t="s">
        <v>1306</v>
      </c>
    </row>
    <row r="502" spans="1:36" ht="43.5" outlineLevel="2" x14ac:dyDescent="0.35">
      <c r="A502" s="19" t="s">
        <v>551</v>
      </c>
      <c r="B502" s="19" t="s">
        <v>572</v>
      </c>
      <c r="C502" s="19" t="s">
        <v>573</v>
      </c>
      <c r="D502" s="19">
        <v>2016</v>
      </c>
      <c r="E502" s="19" t="s">
        <v>1776</v>
      </c>
      <c r="F502" s="19">
        <v>80090312</v>
      </c>
      <c r="G502" s="19" t="s">
        <v>2206</v>
      </c>
      <c r="H502" s="19" t="s">
        <v>2207</v>
      </c>
      <c r="I502" s="19" t="s">
        <v>31</v>
      </c>
      <c r="J502" s="20">
        <v>1</v>
      </c>
      <c r="K502" s="21">
        <v>42871</v>
      </c>
      <c r="L502" s="21">
        <v>42878</v>
      </c>
      <c r="M502" s="21">
        <v>42907</v>
      </c>
      <c r="N502" s="24" t="s">
        <v>2448</v>
      </c>
      <c r="O502" s="19" t="s">
        <v>557</v>
      </c>
      <c r="P502" s="19" t="s">
        <v>609</v>
      </c>
      <c r="Q502" s="19" t="s">
        <v>2208</v>
      </c>
      <c r="R502" s="19" t="s">
        <v>570</v>
      </c>
      <c r="S502" s="19" t="s">
        <v>2209</v>
      </c>
      <c r="T502" t="s">
        <v>161</v>
      </c>
      <c r="U502" s="22">
        <v>0</v>
      </c>
      <c r="V502" s="22">
        <v>0</v>
      </c>
      <c r="W502" s="22">
        <v>540.03</v>
      </c>
      <c r="X502" s="22">
        <v>0</v>
      </c>
      <c r="Y502" s="22">
        <v>31.67</v>
      </c>
      <c r="Z502" s="22">
        <v>0</v>
      </c>
      <c r="AA502" s="22">
        <v>0</v>
      </c>
      <c r="AB502" s="22">
        <v>0</v>
      </c>
      <c r="AC502" s="22">
        <v>0</v>
      </c>
      <c r="AD502" s="22">
        <v>0</v>
      </c>
      <c r="AE502" s="22">
        <v>571.70000000000005</v>
      </c>
      <c r="AF502" s="22">
        <f t="shared" si="7"/>
        <v>571.70000000000005</v>
      </c>
      <c r="AG502" s="22">
        <v>0</v>
      </c>
      <c r="AH502" s="22">
        <v>571.70000000000005</v>
      </c>
      <c r="AI502" t="s">
        <v>562</v>
      </c>
      <c r="AJ502" t="s">
        <v>1306</v>
      </c>
    </row>
    <row r="503" spans="1:36" ht="58" outlineLevel="2" x14ac:dyDescent="0.35">
      <c r="A503" s="19" t="s">
        <v>551</v>
      </c>
      <c r="B503" s="19" t="s">
        <v>986</v>
      </c>
      <c r="C503" s="19" t="s">
        <v>553</v>
      </c>
      <c r="D503" s="19">
        <v>2016</v>
      </c>
      <c r="E503" s="19" t="s">
        <v>1776</v>
      </c>
      <c r="F503" s="19">
        <v>80090387</v>
      </c>
      <c r="G503" s="19" t="s">
        <v>2210</v>
      </c>
      <c r="H503" s="19" t="s">
        <v>2211</v>
      </c>
      <c r="I503" s="19" t="s">
        <v>31</v>
      </c>
      <c r="J503" s="20">
        <v>1</v>
      </c>
      <c r="K503" s="21">
        <v>42870</v>
      </c>
      <c r="L503" s="21">
        <v>42895</v>
      </c>
      <c r="M503" s="21">
        <v>44294</v>
      </c>
      <c r="N503" s="24" t="s">
        <v>2448</v>
      </c>
      <c r="O503" s="19" t="s">
        <v>557</v>
      </c>
      <c r="P503" s="19" t="s">
        <v>568</v>
      </c>
      <c r="Q503" s="19" t="s">
        <v>569</v>
      </c>
      <c r="R503" s="19" t="s">
        <v>560</v>
      </c>
      <c r="S503" s="19" t="s">
        <v>2212</v>
      </c>
      <c r="T503" t="s">
        <v>169</v>
      </c>
      <c r="U503" s="22">
        <v>49491.58</v>
      </c>
      <c r="V503" s="22">
        <v>0</v>
      </c>
      <c r="W503" s="22">
        <v>21625.56</v>
      </c>
      <c r="X503" s="22">
        <v>0</v>
      </c>
      <c r="Y503" s="22">
        <v>21395.69</v>
      </c>
      <c r="Z503" s="22">
        <v>0</v>
      </c>
      <c r="AA503" s="22">
        <v>0</v>
      </c>
      <c r="AB503" s="22">
        <v>0</v>
      </c>
      <c r="AC503" s="22">
        <v>0</v>
      </c>
      <c r="AD503" s="22">
        <v>0</v>
      </c>
      <c r="AE503" s="22">
        <v>92512.83</v>
      </c>
      <c r="AF503" s="22">
        <f t="shared" si="7"/>
        <v>92512.83</v>
      </c>
      <c r="AG503" s="22">
        <v>0</v>
      </c>
      <c r="AH503" s="22">
        <v>92512.83</v>
      </c>
      <c r="AI503" t="s">
        <v>562</v>
      </c>
      <c r="AJ503" t="s">
        <v>1306</v>
      </c>
    </row>
    <row r="504" spans="1:36" ht="29" outlineLevel="2" x14ac:dyDescent="0.35">
      <c r="A504" s="19" t="s">
        <v>551</v>
      </c>
      <c r="B504" s="19" t="s">
        <v>636</v>
      </c>
      <c r="C504" s="19" t="s">
        <v>594</v>
      </c>
      <c r="D504" s="19">
        <v>2016</v>
      </c>
      <c r="E504" s="19" t="s">
        <v>1776</v>
      </c>
      <c r="F504" s="19">
        <v>80090294</v>
      </c>
      <c r="G504" s="19" t="s">
        <v>2213</v>
      </c>
      <c r="H504" s="19" t="s">
        <v>2214</v>
      </c>
      <c r="I504" s="19" t="s">
        <v>31</v>
      </c>
      <c r="J504" s="20">
        <v>1</v>
      </c>
      <c r="K504" s="21">
        <v>42866</v>
      </c>
      <c r="L504" s="21">
        <v>42866</v>
      </c>
      <c r="M504" s="21">
        <v>42963</v>
      </c>
      <c r="N504" s="24" t="s">
        <v>2448</v>
      </c>
      <c r="O504" s="19" t="s">
        <v>603</v>
      </c>
      <c r="P504" s="19" t="s">
        <v>609</v>
      </c>
      <c r="Q504" s="19" t="s">
        <v>871</v>
      </c>
      <c r="R504" s="19" t="s">
        <v>591</v>
      </c>
      <c r="S504" s="19" t="s">
        <v>2215</v>
      </c>
      <c r="T504" t="s">
        <v>33</v>
      </c>
      <c r="U504" s="22">
        <v>0</v>
      </c>
      <c r="V504" s="22">
        <v>0</v>
      </c>
      <c r="W504" s="22">
        <v>0</v>
      </c>
      <c r="X504" s="22">
        <v>0</v>
      </c>
      <c r="Y504" s="22">
        <v>28.5</v>
      </c>
      <c r="Z504" s="22">
        <v>0</v>
      </c>
      <c r="AA504" s="22">
        <v>0</v>
      </c>
      <c r="AB504" s="22">
        <v>0</v>
      </c>
      <c r="AC504" s="22">
        <v>0</v>
      </c>
      <c r="AD504" s="22">
        <v>0</v>
      </c>
      <c r="AE504" s="22">
        <v>28.5</v>
      </c>
      <c r="AF504" s="22">
        <f t="shared" si="7"/>
        <v>28.5</v>
      </c>
      <c r="AG504" s="22">
        <v>0</v>
      </c>
      <c r="AH504" s="22">
        <v>28.5</v>
      </c>
      <c r="AI504" t="s">
        <v>562</v>
      </c>
      <c r="AJ504" t="s">
        <v>1306</v>
      </c>
    </row>
    <row r="505" spans="1:36" ht="43.5" outlineLevel="2" x14ac:dyDescent="0.35">
      <c r="A505" s="19" t="s">
        <v>551</v>
      </c>
      <c r="B505" s="19" t="s">
        <v>740</v>
      </c>
      <c r="C505" s="19" t="s">
        <v>741</v>
      </c>
      <c r="D505" s="19">
        <v>2016</v>
      </c>
      <c r="E505" s="19" t="s">
        <v>1776</v>
      </c>
      <c r="F505" s="19">
        <v>80090296</v>
      </c>
      <c r="G505" s="19" t="s">
        <v>2216</v>
      </c>
      <c r="H505" s="19" t="s">
        <v>2217</v>
      </c>
      <c r="I505" s="19" t="s">
        <v>31</v>
      </c>
      <c r="J505" s="20">
        <v>1</v>
      </c>
      <c r="K505" s="21">
        <v>42866</v>
      </c>
      <c r="L505" s="21">
        <v>42866</v>
      </c>
      <c r="M505" s="21">
        <v>43472</v>
      </c>
      <c r="N505" s="24" t="s">
        <v>2448</v>
      </c>
      <c r="O505" s="19" t="s">
        <v>557</v>
      </c>
      <c r="P505" s="19" t="s">
        <v>609</v>
      </c>
      <c r="Q505" s="19" t="s">
        <v>590</v>
      </c>
      <c r="R505" s="19" t="s">
        <v>616</v>
      </c>
      <c r="S505" s="19" t="s">
        <v>2218</v>
      </c>
      <c r="T505" t="s">
        <v>45</v>
      </c>
      <c r="U505" s="22">
        <v>130000</v>
      </c>
      <c r="V505" s="22">
        <v>0</v>
      </c>
      <c r="W505" s="22">
        <v>28955.74</v>
      </c>
      <c r="X505" s="22">
        <v>0</v>
      </c>
      <c r="Y505" s="22">
        <v>37032.33</v>
      </c>
      <c r="Z505" s="22">
        <v>0</v>
      </c>
      <c r="AA505" s="22">
        <v>0</v>
      </c>
      <c r="AB505" s="22">
        <v>0</v>
      </c>
      <c r="AC505" s="22">
        <v>0</v>
      </c>
      <c r="AD505" s="22">
        <v>0</v>
      </c>
      <c r="AE505" s="22">
        <v>195988.07</v>
      </c>
      <c r="AF505" s="22">
        <f t="shared" si="7"/>
        <v>195988.07</v>
      </c>
      <c r="AG505" s="22">
        <v>0</v>
      </c>
      <c r="AH505" s="22">
        <v>195988.07</v>
      </c>
      <c r="AI505" t="s">
        <v>562</v>
      </c>
      <c r="AJ505" t="s">
        <v>1306</v>
      </c>
    </row>
    <row r="506" spans="1:36" ht="101.5" outlineLevel="2" x14ac:dyDescent="0.35">
      <c r="A506" s="19" t="s">
        <v>551</v>
      </c>
      <c r="B506" s="19" t="s">
        <v>2219</v>
      </c>
      <c r="C506" s="19" t="s">
        <v>2220</v>
      </c>
      <c r="D506" s="19">
        <v>2016</v>
      </c>
      <c r="E506" s="19" t="s">
        <v>1776</v>
      </c>
      <c r="F506" s="19">
        <v>80090289</v>
      </c>
      <c r="G506" s="19" t="s">
        <v>2221</v>
      </c>
      <c r="H506" s="19" t="s">
        <v>2222</v>
      </c>
      <c r="I506" s="19" t="s">
        <v>31</v>
      </c>
      <c r="J506" s="20">
        <v>1</v>
      </c>
      <c r="K506" s="21">
        <v>42861</v>
      </c>
      <c r="L506" s="21">
        <v>42865</v>
      </c>
      <c r="M506" s="21">
        <v>42899</v>
      </c>
      <c r="N506" s="24" t="s">
        <v>2448</v>
      </c>
      <c r="O506" s="19" t="s">
        <v>557</v>
      </c>
      <c r="Q506" s="19" t="s">
        <v>661</v>
      </c>
      <c r="R506" s="19" t="s">
        <v>570</v>
      </c>
      <c r="S506" s="19" t="s">
        <v>2223</v>
      </c>
      <c r="T506" t="s">
        <v>2224</v>
      </c>
      <c r="U506" s="22">
        <v>0</v>
      </c>
      <c r="V506" s="22">
        <v>0</v>
      </c>
      <c r="W506" s="22">
        <v>2059.61</v>
      </c>
      <c r="X506" s="22">
        <v>0</v>
      </c>
      <c r="Y506" s="22">
        <v>28.5</v>
      </c>
      <c r="Z506" s="22">
        <v>0</v>
      </c>
      <c r="AA506" s="22">
        <v>0</v>
      </c>
      <c r="AB506" s="22">
        <v>0</v>
      </c>
      <c r="AC506" s="22">
        <v>0</v>
      </c>
      <c r="AD506" s="22">
        <v>0</v>
      </c>
      <c r="AE506" s="22">
        <v>2088.11</v>
      </c>
      <c r="AF506" s="22">
        <f t="shared" si="7"/>
        <v>2088.11</v>
      </c>
      <c r="AG506" s="22">
        <v>0</v>
      </c>
      <c r="AH506" s="22">
        <v>2088.11</v>
      </c>
      <c r="AI506" t="s">
        <v>562</v>
      </c>
      <c r="AJ506" t="s">
        <v>1306</v>
      </c>
    </row>
    <row r="507" spans="1:36" ht="58" outlineLevel="2" x14ac:dyDescent="0.35">
      <c r="A507" s="19" t="s">
        <v>551</v>
      </c>
      <c r="B507" s="19" t="s">
        <v>996</v>
      </c>
      <c r="C507" s="19" t="s">
        <v>997</v>
      </c>
      <c r="D507" s="19">
        <v>2016</v>
      </c>
      <c r="E507" s="19" t="s">
        <v>1776</v>
      </c>
      <c r="F507" s="19">
        <v>80090287</v>
      </c>
      <c r="G507" s="19" t="s">
        <v>2225</v>
      </c>
      <c r="H507" s="19" t="s">
        <v>2226</v>
      </c>
      <c r="I507" s="19" t="s">
        <v>31</v>
      </c>
      <c r="J507" s="20">
        <v>1</v>
      </c>
      <c r="K507" s="21">
        <v>42854</v>
      </c>
      <c r="L507" s="21">
        <v>42856</v>
      </c>
      <c r="M507" s="21">
        <v>42928</v>
      </c>
      <c r="N507" s="24" t="s">
        <v>2448</v>
      </c>
      <c r="O507" s="19" t="s">
        <v>557</v>
      </c>
      <c r="P507" s="19" t="s">
        <v>576</v>
      </c>
      <c r="Q507" s="19" t="s">
        <v>655</v>
      </c>
      <c r="R507" s="19" t="s">
        <v>578</v>
      </c>
      <c r="S507" s="19" t="s">
        <v>2227</v>
      </c>
      <c r="T507" t="s">
        <v>51</v>
      </c>
      <c r="U507" s="22">
        <v>0</v>
      </c>
      <c r="V507" s="22">
        <v>0</v>
      </c>
      <c r="W507" s="22">
        <v>50</v>
      </c>
      <c r="X507" s="22">
        <v>0</v>
      </c>
      <c r="Y507" s="22">
        <v>9.5</v>
      </c>
      <c r="Z507" s="22">
        <v>0</v>
      </c>
      <c r="AA507" s="22">
        <v>0</v>
      </c>
      <c r="AB507" s="22">
        <v>0</v>
      </c>
      <c r="AC507" s="22">
        <v>0</v>
      </c>
      <c r="AD507" s="22">
        <v>0</v>
      </c>
      <c r="AE507" s="22">
        <v>59.5</v>
      </c>
      <c r="AF507" s="22">
        <f t="shared" si="7"/>
        <v>59.5</v>
      </c>
      <c r="AG507" s="22">
        <v>0</v>
      </c>
      <c r="AH507" s="22">
        <v>59.5</v>
      </c>
      <c r="AI507" t="s">
        <v>562</v>
      </c>
      <c r="AJ507" t="s">
        <v>1306</v>
      </c>
    </row>
    <row r="508" spans="1:36" ht="58" outlineLevel="2" x14ac:dyDescent="0.35">
      <c r="A508" s="19" t="s">
        <v>551</v>
      </c>
      <c r="B508" s="19" t="s">
        <v>996</v>
      </c>
      <c r="C508" s="19" t="s">
        <v>997</v>
      </c>
      <c r="D508" s="19">
        <v>2016</v>
      </c>
      <c r="E508" s="19" t="s">
        <v>1776</v>
      </c>
      <c r="F508" s="19">
        <v>80090279</v>
      </c>
      <c r="G508" s="19" t="s">
        <v>2228</v>
      </c>
      <c r="H508" s="19" t="s">
        <v>2229</v>
      </c>
      <c r="I508" s="19" t="s">
        <v>31</v>
      </c>
      <c r="J508" s="20">
        <v>1</v>
      </c>
      <c r="K508" s="21">
        <v>42850</v>
      </c>
      <c r="L508" s="21">
        <v>42852</v>
      </c>
      <c r="M508" s="21">
        <v>42951</v>
      </c>
      <c r="N508" s="24" t="s">
        <v>2448</v>
      </c>
      <c r="O508" s="19" t="s">
        <v>557</v>
      </c>
      <c r="P508" s="19" t="s">
        <v>665</v>
      </c>
      <c r="Q508" s="19" t="s">
        <v>735</v>
      </c>
      <c r="R508" s="19" t="s">
        <v>570</v>
      </c>
      <c r="S508" s="19" t="s">
        <v>2230</v>
      </c>
      <c r="T508" t="s">
        <v>51</v>
      </c>
      <c r="U508" s="22">
        <v>140.88</v>
      </c>
      <c r="V508" s="22">
        <v>0</v>
      </c>
      <c r="W508" s="22">
        <v>1492.58</v>
      </c>
      <c r="X508" s="22">
        <v>0</v>
      </c>
      <c r="Y508" s="22">
        <v>976.56</v>
      </c>
      <c r="Z508" s="22">
        <v>0</v>
      </c>
      <c r="AA508" s="22">
        <v>0</v>
      </c>
      <c r="AB508" s="22">
        <v>-5.86</v>
      </c>
      <c r="AC508" s="22">
        <v>0</v>
      </c>
      <c r="AD508" s="22">
        <v>0</v>
      </c>
      <c r="AE508" s="22">
        <v>2610.02</v>
      </c>
      <c r="AF508" s="22">
        <f t="shared" si="7"/>
        <v>2604.16</v>
      </c>
      <c r="AG508" s="22">
        <v>0</v>
      </c>
      <c r="AH508" s="22">
        <v>2604.16</v>
      </c>
      <c r="AI508" t="s">
        <v>562</v>
      </c>
      <c r="AJ508" t="s">
        <v>1306</v>
      </c>
    </row>
    <row r="509" spans="1:36" ht="116" outlineLevel="2" x14ac:dyDescent="0.35">
      <c r="A509" s="19" t="s">
        <v>551</v>
      </c>
      <c r="B509" s="19" t="s">
        <v>636</v>
      </c>
      <c r="C509" s="19" t="s">
        <v>594</v>
      </c>
      <c r="D509" s="19">
        <v>2016</v>
      </c>
      <c r="E509" s="19" t="s">
        <v>1776</v>
      </c>
      <c r="F509" s="19">
        <v>80090275</v>
      </c>
      <c r="G509" s="19" t="s">
        <v>2231</v>
      </c>
      <c r="H509" s="19" t="s">
        <v>2232</v>
      </c>
      <c r="I509" s="19" t="s">
        <v>31</v>
      </c>
      <c r="J509" s="20">
        <v>1</v>
      </c>
      <c r="K509" s="21">
        <v>42844</v>
      </c>
      <c r="L509" s="21">
        <v>42844</v>
      </c>
      <c r="M509" s="21">
        <v>42901</v>
      </c>
      <c r="N509" s="24" t="s">
        <v>2448</v>
      </c>
      <c r="O509" s="19" t="s">
        <v>557</v>
      </c>
      <c r="P509" s="19" t="s">
        <v>609</v>
      </c>
      <c r="Q509" s="19" t="s">
        <v>577</v>
      </c>
      <c r="R509" s="19" t="s">
        <v>578</v>
      </c>
      <c r="S509" s="19" t="s">
        <v>2233</v>
      </c>
      <c r="T509" t="s">
        <v>33</v>
      </c>
      <c r="U509" s="22">
        <v>0</v>
      </c>
      <c r="V509" s="22">
        <v>0</v>
      </c>
      <c r="W509" s="22">
        <v>734.9</v>
      </c>
      <c r="X509" s="22">
        <v>0</v>
      </c>
      <c r="Y509" s="22">
        <v>19</v>
      </c>
      <c r="Z509" s="22">
        <v>0</v>
      </c>
      <c r="AA509" s="22">
        <v>0</v>
      </c>
      <c r="AB509" s="22">
        <v>0</v>
      </c>
      <c r="AC509" s="22">
        <v>0</v>
      </c>
      <c r="AD509" s="22">
        <v>0</v>
      </c>
      <c r="AE509" s="22">
        <v>753.9</v>
      </c>
      <c r="AF509" s="22">
        <f t="shared" si="7"/>
        <v>753.9</v>
      </c>
      <c r="AG509" s="22">
        <v>0</v>
      </c>
      <c r="AH509" s="22">
        <v>753.9</v>
      </c>
      <c r="AI509" t="s">
        <v>562</v>
      </c>
      <c r="AJ509" t="s">
        <v>1306</v>
      </c>
    </row>
    <row r="510" spans="1:36" ht="43.5" outlineLevel="2" x14ac:dyDescent="0.35">
      <c r="A510" s="19" t="s">
        <v>551</v>
      </c>
      <c r="B510" s="19" t="s">
        <v>586</v>
      </c>
      <c r="C510" s="19" t="s">
        <v>587</v>
      </c>
      <c r="D510" s="19">
        <v>2016</v>
      </c>
      <c r="E510" s="19" t="s">
        <v>1776</v>
      </c>
      <c r="F510" s="19">
        <v>80090281</v>
      </c>
      <c r="G510" s="19" t="s">
        <v>2234</v>
      </c>
      <c r="H510" s="19" t="s">
        <v>2235</v>
      </c>
      <c r="I510" s="19" t="s">
        <v>31</v>
      </c>
      <c r="J510" s="20">
        <v>1</v>
      </c>
      <c r="K510" s="21">
        <v>42844</v>
      </c>
      <c r="L510" s="21">
        <v>42846</v>
      </c>
      <c r="M510" s="21">
        <v>42864</v>
      </c>
      <c r="N510" s="24" t="s">
        <v>2448</v>
      </c>
      <c r="O510" s="19" t="s">
        <v>557</v>
      </c>
      <c r="P510" s="19" t="s">
        <v>568</v>
      </c>
      <c r="Q510" s="19" t="s">
        <v>704</v>
      </c>
      <c r="R510" s="19" t="s">
        <v>578</v>
      </c>
      <c r="S510" s="19" t="s">
        <v>2236</v>
      </c>
      <c r="T510" t="s">
        <v>45</v>
      </c>
      <c r="U510" s="22">
        <v>0</v>
      </c>
      <c r="V510" s="22">
        <v>0</v>
      </c>
      <c r="W510" s="22">
        <v>659.3</v>
      </c>
      <c r="X510" s="22">
        <v>0</v>
      </c>
      <c r="Y510" s="22">
        <v>46.49</v>
      </c>
      <c r="Z510" s="22">
        <v>0</v>
      </c>
      <c r="AA510" s="22">
        <v>0</v>
      </c>
      <c r="AB510" s="22">
        <v>0</v>
      </c>
      <c r="AC510" s="22">
        <v>0</v>
      </c>
      <c r="AD510" s="22">
        <v>0</v>
      </c>
      <c r="AE510" s="22">
        <v>705.79</v>
      </c>
      <c r="AF510" s="22">
        <f t="shared" si="7"/>
        <v>705.79</v>
      </c>
      <c r="AG510" s="22">
        <v>0</v>
      </c>
      <c r="AH510" s="22">
        <v>705.79</v>
      </c>
      <c r="AI510" t="s">
        <v>562</v>
      </c>
      <c r="AJ510" t="s">
        <v>1306</v>
      </c>
    </row>
    <row r="511" spans="1:36" ht="58" outlineLevel="2" x14ac:dyDescent="0.35">
      <c r="A511" s="19" t="s">
        <v>551</v>
      </c>
      <c r="B511" s="19" t="s">
        <v>740</v>
      </c>
      <c r="C511" s="19" t="s">
        <v>741</v>
      </c>
      <c r="D511" s="19">
        <v>2016</v>
      </c>
      <c r="E511" s="19" t="s">
        <v>1776</v>
      </c>
      <c r="F511" s="19">
        <v>80090285</v>
      </c>
      <c r="G511" s="19" t="s">
        <v>2237</v>
      </c>
      <c r="H511" s="19" t="s">
        <v>2238</v>
      </c>
      <c r="I511" s="19" t="s">
        <v>31</v>
      </c>
      <c r="J511" s="20">
        <v>1</v>
      </c>
      <c r="K511" s="21">
        <v>42843</v>
      </c>
      <c r="L511" s="21">
        <v>42846</v>
      </c>
      <c r="M511" s="21">
        <v>43389</v>
      </c>
      <c r="N511" s="24" t="s">
        <v>2448</v>
      </c>
      <c r="O511" s="19" t="s">
        <v>557</v>
      </c>
      <c r="P511" s="19" t="s">
        <v>568</v>
      </c>
      <c r="Q511" s="19" t="s">
        <v>655</v>
      </c>
      <c r="R511" s="19" t="s">
        <v>578</v>
      </c>
      <c r="S511" s="19" t="s">
        <v>2239</v>
      </c>
      <c r="T511" t="s">
        <v>45</v>
      </c>
      <c r="U511" s="22">
        <v>0</v>
      </c>
      <c r="V511" s="22">
        <v>0</v>
      </c>
      <c r="W511" s="22">
        <v>91.91</v>
      </c>
      <c r="X511" s="22">
        <v>0</v>
      </c>
      <c r="Y511" s="22">
        <v>38</v>
      </c>
      <c r="Z511" s="22">
        <v>0</v>
      </c>
      <c r="AA511" s="22">
        <v>0</v>
      </c>
      <c r="AB511" s="22">
        <v>0</v>
      </c>
      <c r="AC511" s="22">
        <v>0</v>
      </c>
      <c r="AD511" s="22">
        <v>0</v>
      </c>
      <c r="AE511" s="22">
        <v>129.91</v>
      </c>
      <c r="AF511" s="22">
        <f t="shared" si="7"/>
        <v>129.91</v>
      </c>
      <c r="AG511" s="22">
        <v>0</v>
      </c>
      <c r="AH511" s="22">
        <v>129.91</v>
      </c>
      <c r="AI511" t="s">
        <v>562</v>
      </c>
      <c r="AJ511" t="s">
        <v>1306</v>
      </c>
    </row>
    <row r="512" spans="1:36" ht="58" outlineLevel="2" x14ac:dyDescent="0.35">
      <c r="A512" s="19" t="s">
        <v>551</v>
      </c>
      <c r="B512" s="19" t="s">
        <v>2240</v>
      </c>
      <c r="C512" s="19" t="s">
        <v>1016</v>
      </c>
      <c r="D512" s="19">
        <v>2016</v>
      </c>
      <c r="E512" s="19" t="s">
        <v>1776</v>
      </c>
      <c r="F512" s="19">
        <v>80090277</v>
      </c>
      <c r="G512" s="19" t="s">
        <v>2241</v>
      </c>
      <c r="H512" s="19" t="s">
        <v>2242</v>
      </c>
      <c r="I512" s="19" t="s">
        <v>31</v>
      </c>
      <c r="J512" s="20">
        <v>1</v>
      </c>
      <c r="K512" s="21">
        <v>42842</v>
      </c>
      <c r="L512" s="21">
        <v>42844</v>
      </c>
      <c r="M512" s="21">
        <v>42989</v>
      </c>
      <c r="N512" s="24" t="s">
        <v>2448</v>
      </c>
      <c r="O512" s="19" t="s">
        <v>557</v>
      </c>
      <c r="Q512" s="19" t="s">
        <v>735</v>
      </c>
      <c r="R512" s="19" t="s">
        <v>591</v>
      </c>
      <c r="S512" s="19" t="s">
        <v>2243</v>
      </c>
      <c r="T512" t="s">
        <v>1021</v>
      </c>
      <c r="U512" s="22">
        <v>0</v>
      </c>
      <c r="V512" s="22">
        <v>0</v>
      </c>
      <c r="W512" s="22">
        <v>1385.84</v>
      </c>
      <c r="X512" s="22">
        <v>0</v>
      </c>
      <c r="Y512" s="22">
        <v>142.24</v>
      </c>
      <c r="Z512" s="22">
        <v>0</v>
      </c>
      <c r="AA512" s="22">
        <v>0</v>
      </c>
      <c r="AB512" s="22">
        <v>-21.18</v>
      </c>
      <c r="AC512" s="22">
        <v>0</v>
      </c>
      <c r="AD512" s="22">
        <v>0</v>
      </c>
      <c r="AE512" s="22">
        <v>1528.08</v>
      </c>
      <c r="AF512" s="22">
        <f t="shared" si="7"/>
        <v>1506.8999999999999</v>
      </c>
      <c r="AG512" s="22">
        <v>0</v>
      </c>
      <c r="AH512" s="22">
        <v>1506.9</v>
      </c>
      <c r="AI512" t="s">
        <v>562</v>
      </c>
      <c r="AJ512" t="s">
        <v>1306</v>
      </c>
    </row>
    <row r="513" spans="1:36" ht="58" outlineLevel="2" x14ac:dyDescent="0.35">
      <c r="A513" s="19" t="s">
        <v>551</v>
      </c>
      <c r="B513" s="19" t="s">
        <v>636</v>
      </c>
      <c r="C513" s="19" t="s">
        <v>594</v>
      </c>
      <c r="D513" s="19">
        <v>2016</v>
      </c>
      <c r="E513" s="19" t="s">
        <v>1776</v>
      </c>
      <c r="F513" s="19">
        <v>80090578</v>
      </c>
      <c r="G513" s="19" t="s">
        <v>2244</v>
      </c>
      <c r="H513" s="19" t="s">
        <v>2245</v>
      </c>
      <c r="I513" s="19" t="s">
        <v>31</v>
      </c>
      <c r="J513" s="20">
        <v>1</v>
      </c>
      <c r="K513" s="21">
        <v>42831</v>
      </c>
      <c r="L513" s="21">
        <v>42832</v>
      </c>
      <c r="M513" s="21">
        <v>43775</v>
      </c>
      <c r="N513" s="24" t="s">
        <v>2448</v>
      </c>
      <c r="O513" s="19" t="s">
        <v>557</v>
      </c>
      <c r="P513" s="19" t="s">
        <v>609</v>
      </c>
      <c r="Q513" s="19" t="s">
        <v>856</v>
      </c>
      <c r="R513" s="19" t="s">
        <v>591</v>
      </c>
      <c r="S513" s="19" t="s">
        <v>2246</v>
      </c>
      <c r="T513" t="s">
        <v>33</v>
      </c>
      <c r="U513" s="22">
        <v>0</v>
      </c>
      <c r="V513" s="22">
        <v>0</v>
      </c>
      <c r="W513" s="22">
        <v>893.54</v>
      </c>
      <c r="X513" s="22">
        <v>0</v>
      </c>
      <c r="Y513" s="22">
        <v>56.91</v>
      </c>
      <c r="Z513" s="22">
        <v>0</v>
      </c>
      <c r="AA513" s="22">
        <v>-24.44</v>
      </c>
      <c r="AB513" s="22">
        <v>0</v>
      </c>
      <c r="AC513" s="22">
        <v>0</v>
      </c>
      <c r="AD513" s="22">
        <v>0</v>
      </c>
      <c r="AE513" s="22">
        <v>950.45</v>
      </c>
      <c r="AF513" s="22">
        <f t="shared" si="7"/>
        <v>926.01</v>
      </c>
      <c r="AG513" s="22">
        <v>0</v>
      </c>
      <c r="AH513" s="22">
        <v>926.01</v>
      </c>
      <c r="AI513" t="s">
        <v>562</v>
      </c>
      <c r="AJ513" t="s">
        <v>1306</v>
      </c>
    </row>
    <row r="514" spans="1:36" ht="58" outlineLevel="2" x14ac:dyDescent="0.35">
      <c r="A514" s="19" t="s">
        <v>551</v>
      </c>
      <c r="B514" s="19" t="s">
        <v>2055</v>
      </c>
      <c r="C514" s="19" t="s">
        <v>2056</v>
      </c>
      <c r="D514" s="19">
        <v>2016</v>
      </c>
      <c r="E514" s="19" t="s">
        <v>1776</v>
      </c>
      <c r="F514" s="19">
        <v>80090269</v>
      </c>
      <c r="G514" s="19" t="s">
        <v>2247</v>
      </c>
      <c r="H514" s="19" t="s">
        <v>2248</v>
      </c>
      <c r="I514" s="19" t="s">
        <v>31</v>
      </c>
      <c r="J514" s="20">
        <v>1</v>
      </c>
      <c r="K514" s="21">
        <v>42825</v>
      </c>
      <c r="L514" s="21">
        <v>42825</v>
      </c>
      <c r="M514" s="21">
        <v>43099</v>
      </c>
      <c r="N514" s="24" t="s">
        <v>2448</v>
      </c>
      <c r="O514" s="19" t="s">
        <v>557</v>
      </c>
      <c r="P514" s="19" t="s">
        <v>568</v>
      </c>
      <c r="Q514" s="19" t="s">
        <v>584</v>
      </c>
      <c r="R514" s="19" t="s">
        <v>591</v>
      </c>
      <c r="S514" s="19" t="s">
        <v>2249</v>
      </c>
      <c r="T514" t="s">
        <v>51</v>
      </c>
      <c r="U514" s="22">
        <v>0</v>
      </c>
      <c r="V514" s="22">
        <v>0</v>
      </c>
      <c r="W514" s="22">
        <v>5158.5</v>
      </c>
      <c r="X514" s="22">
        <v>0</v>
      </c>
      <c r="Y514" s="22">
        <v>904.59</v>
      </c>
      <c r="Z514" s="22">
        <v>0</v>
      </c>
      <c r="AA514" s="22">
        <v>0</v>
      </c>
      <c r="AB514" s="22">
        <v>0</v>
      </c>
      <c r="AC514" s="22">
        <v>0</v>
      </c>
      <c r="AD514" s="22">
        <v>0</v>
      </c>
      <c r="AE514" s="22">
        <v>6063.09</v>
      </c>
      <c r="AF514" s="22">
        <f t="shared" si="7"/>
        <v>6063.09</v>
      </c>
      <c r="AG514" s="22">
        <v>0</v>
      </c>
      <c r="AH514" s="22">
        <v>6063.09</v>
      </c>
      <c r="AI514" t="s">
        <v>562</v>
      </c>
      <c r="AJ514" t="s">
        <v>1306</v>
      </c>
    </row>
    <row r="515" spans="1:36" ht="43.5" outlineLevel="2" x14ac:dyDescent="0.35">
      <c r="A515" s="19" t="s">
        <v>551</v>
      </c>
      <c r="B515" s="19" t="s">
        <v>636</v>
      </c>
      <c r="C515" s="19" t="s">
        <v>594</v>
      </c>
      <c r="D515" s="19">
        <v>2016</v>
      </c>
      <c r="E515" s="19" t="s">
        <v>1776</v>
      </c>
      <c r="F515" s="19">
        <v>80090343</v>
      </c>
      <c r="G515" s="19" t="s">
        <v>2250</v>
      </c>
      <c r="H515" s="19" t="s">
        <v>2251</v>
      </c>
      <c r="I515" s="19" t="s">
        <v>31</v>
      </c>
      <c r="J515" s="20">
        <v>1</v>
      </c>
      <c r="K515" s="21">
        <v>42824</v>
      </c>
      <c r="L515" s="21">
        <v>42826</v>
      </c>
      <c r="M515" s="21">
        <v>43594</v>
      </c>
      <c r="N515" s="24" t="s">
        <v>2448</v>
      </c>
      <c r="O515" s="19" t="s">
        <v>557</v>
      </c>
      <c r="P515" s="19" t="s">
        <v>568</v>
      </c>
      <c r="Q515" s="19" t="s">
        <v>569</v>
      </c>
      <c r="R515" s="19" t="s">
        <v>650</v>
      </c>
      <c r="S515" s="19" t="s">
        <v>2252</v>
      </c>
      <c r="T515" t="s">
        <v>33</v>
      </c>
      <c r="U515" s="22">
        <v>263227.13</v>
      </c>
      <c r="V515" s="22">
        <v>0</v>
      </c>
      <c r="W515" s="22">
        <v>51299.94</v>
      </c>
      <c r="X515" s="22">
        <v>0</v>
      </c>
      <c r="Y515" s="22">
        <v>22919.83</v>
      </c>
      <c r="Z515" s="22">
        <v>0</v>
      </c>
      <c r="AA515" s="22">
        <v>0</v>
      </c>
      <c r="AB515" s="22">
        <v>0</v>
      </c>
      <c r="AC515" s="22">
        <v>0</v>
      </c>
      <c r="AD515" s="22">
        <v>0</v>
      </c>
      <c r="AE515" s="22">
        <v>337446.9</v>
      </c>
      <c r="AF515" s="22">
        <f t="shared" ref="AF515:AF578" si="8">AE515+AA515+AB515+AC515</f>
        <v>337446.9</v>
      </c>
      <c r="AG515" s="22">
        <v>0</v>
      </c>
      <c r="AH515" s="22">
        <v>337446.9</v>
      </c>
      <c r="AI515" t="s">
        <v>562</v>
      </c>
      <c r="AJ515" t="s">
        <v>1306</v>
      </c>
    </row>
    <row r="516" spans="1:36" ht="58" outlineLevel="2" x14ac:dyDescent="0.35">
      <c r="A516" s="19" t="s">
        <v>551</v>
      </c>
      <c r="B516" s="19" t="s">
        <v>636</v>
      </c>
      <c r="C516" s="19" t="s">
        <v>594</v>
      </c>
      <c r="D516" s="19">
        <v>2016</v>
      </c>
      <c r="E516" s="19" t="s">
        <v>1776</v>
      </c>
      <c r="F516" s="19">
        <v>80090334</v>
      </c>
      <c r="G516" s="19" t="s">
        <v>2253</v>
      </c>
      <c r="H516" s="19" t="s">
        <v>2254</v>
      </c>
      <c r="I516" s="19" t="s">
        <v>31</v>
      </c>
      <c r="J516" s="20">
        <v>1</v>
      </c>
      <c r="K516" s="21">
        <v>42823</v>
      </c>
      <c r="L516" s="21">
        <v>42825</v>
      </c>
      <c r="M516" s="21">
        <v>42880</v>
      </c>
      <c r="N516" s="24" t="s">
        <v>2448</v>
      </c>
      <c r="O516" s="19" t="s">
        <v>557</v>
      </c>
      <c r="P516" s="19" t="s">
        <v>609</v>
      </c>
      <c r="Q516" s="19" t="s">
        <v>597</v>
      </c>
      <c r="R516" s="19" t="s">
        <v>591</v>
      </c>
      <c r="S516" s="19" t="s">
        <v>2255</v>
      </c>
      <c r="T516" t="s">
        <v>33</v>
      </c>
      <c r="U516" s="22">
        <v>0</v>
      </c>
      <c r="V516" s="22">
        <v>0</v>
      </c>
      <c r="W516" s="22">
        <v>241.82</v>
      </c>
      <c r="X516" s="22">
        <v>0</v>
      </c>
      <c r="Y516" s="22">
        <v>66.92</v>
      </c>
      <c r="Z516" s="22">
        <v>0</v>
      </c>
      <c r="AA516" s="22">
        <v>0</v>
      </c>
      <c r="AB516" s="22">
        <v>0</v>
      </c>
      <c r="AC516" s="22">
        <v>0</v>
      </c>
      <c r="AD516" s="22">
        <v>0</v>
      </c>
      <c r="AE516" s="22">
        <v>308.74</v>
      </c>
      <c r="AF516" s="22">
        <f t="shared" si="8"/>
        <v>308.74</v>
      </c>
      <c r="AG516" s="22">
        <v>0</v>
      </c>
      <c r="AH516" s="22">
        <v>308.74</v>
      </c>
      <c r="AI516" t="s">
        <v>562</v>
      </c>
    </row>
    <row r="517" spans="1:36" ht="29" outlineLevel="2" x14ac:dyDescent="0.35">
      <c r="A517" s="19" t="s">
        <v>551</v>
      </c>
      <c r="B517" s="19" t="s">
        <v>658</v>
      </c>
      <c r="C517" s="19" t="s">
        <v>643</v>
      </c>
      <c r="D517" s="19">
        <v>2016</v>
      </c>
      <c r="E517" s="19" t="s">
        <v>1776</v>
      </c>
      <c r="F517" s="19">
        <v>80090582</v>
      </c>
      <c r="G517" s="19" t="s">
        <v>2256</v>
      </c>
      <c r="H517" s="19" t="s">
        <v>2257</v>
      </c>
      <c r="I517" s="19" t="s">
        <v>31</v>
      </c>
      <c r="J517" s="20">
        <v>1</v>
      </c>
      <c r="K517" s="21">
        <v>42822</v>
      </c>
      <c r="L517" s="21">
        <v>42838</v>
      </c>
      <c r="M517" s="21">
        <v>42951</v>
      </c>
      <c r="N517" s="24" t="s">
        <v>2448</v>
      </c>
      <c r="O517" s="19" t="s">
        <v>557</v>
      </c>
      <c r="P517" s="19" t="s">
        <v>665</v>
      </c>
      <c r="Q517" s="19" t="s">
        <v>569</v>
      </c>
      <c r="R517" s="19" t="s">
        <v>570</v>
      </c>
      <c r="S517" s="19" t="s">
        <v>2258</v>
      </c>
      <c r="T517" t="s">
        <v>62</v>
      </c>
      <c r="U517" s="22">
        <v>0</v>
      </c>
      <c r="V517" s="22">
        <v>0</v>
      </c>
      <c r="W517" s="22">
        <v>1285</v>
      </c>
      <c r="X517" s="22">
        <v>0</v>
      </c>
      <c r="Y517" s="22">
        <v>201.07</v>
      </c>
      <c r="Z517" s="22">
        <v>0</v>
      </c>
      <c r="AA517" s="22">
        <v>0</v>
      </c>
      <c r="AB517" s="22">
        <v>-63.24</v>
      </c>
      <c r="AC517" s="22">
        <v>0</v>
      </c>
      <c r="AD517" s="22">
        <v>0</v>
      </c>
      <c r="AE517" s="22">
        <v>1486.07</v>
      </c>
      <c r="AF517" s="22">
        <f t="shared" si="8"/>
        <v>1422.83</v>
      </c>
      <c r="AG517" s="22">
        <v>0</v>
      </c>
      <c r="AH517" s="22">
        <v>1422.83</v>
      </c>
      <c r="AI517" t="s">
        <v>562</v>
      </c>
      <c r="AJ517" t="s">
        <v>1306</v>
      </c>
    </row>
    <row r="518" spans="1:36" ht="87" outlineLevel="2" x14ac:dyDescent="0.35">
      <c r="A518" s="19" t="s">
        <v>551</v>
      </c>
      <c r="B518" s="19" t="s">
        <v>986</v>
      </c>
      <c r="C518" s="19" t="s">
        <v>553</v>
      </c>
      <c r="D518" s="19">
        <v>2016</v>
      </c>
      <c r="E518" s="19" t="s">
        <v>1776</v>
      </c>
      <c r="F518" s="19">
        <v>80090548</v>
      </c>
      <c r="G518" s="19" t="s">
        <v>2259</v>
      </c>
      <c r="H518" s="19" t="s">
        <v>2260</v>
      </c>
      <c r="I518" s="19" t="s">
        <v>31</v>
      </c>
      <c r="J518" s="20">
        <v>1</v>
      </c>
      <c r="K518" s="21">
        <v>42816</v>
      </c>
      <c r="L518" s="21">
        <v>42818</v>
      </c>
      <c r="M518" s="21">
        <v>42955</v>
      </c>
      <c r="N518" s="24" t="s">
        <v>2448</v>
      </c>
      <c r="O518" s="19" t="s">
        <v>557</v>
      </c>
      <c r="P518" s="19" t="s">
        <v>568</v>
      </c>
      <c r="Q518" s="19" t="s">
        <v>704</v>
      </c>
      <c r="R518" s="19" t="s">
        <v>578</v>
      </c>
      <c r="S518" s="19" t="s">
        <v>2261</v>
      </c>
      <c r="T518" t="s">
        <v>169</v>
      </c>
      <c r="U518" s="22">
        <v>0</v>
      </c>
      <c r="V518" s="22">
        <v>0</v>
      </c>
      <c r="W518" s="22">
        <v>559.9</v>
      </c>
      <c r="X518" s="22">
        <v>0</v>
      </c>
      <c r="Y518" s="22">
        <v>95.96</v>
      </c>
      <c r="Z518" s="22">
        <v>0</v>
      </c>
      <c r="AA518" s="22">
        <v>0</v>
      </c>
      <c r="AB518" s="22">
        <v>0</v>
      </c>
      <c r="AC518" s="22">
        <v>0</v>
      </c>
      <c r="AD518" s="22">
        <v>0</v>
      </c>
      <c r="AE518" s="22">
        <v>655.86</v>
      </c>
      <c r="AF518" s="22">
        <f t="shared" si="8"/>
        <v>655.86</v>
      </c>
      <c r="AG518" s="22">
        <v>0</v>
      </c>
      <c r="AH518" s="22">
        <v>655.86</v>
      </c>
      <c r="AI518" t="s">
        <v>562</v>
      </c>
      <c r="AJ518" t="s">
        <v>1306</v>
      </c>
    </row>
    <row r="519" spans="1:36" ht="58" outlineLevel="2" x14ac:dyDescent="0.35">
      <c r="A519" s="19" t="s">
        <v>551</v>
      </c>
      <c r="B519" s="19" t="s">
        <v>986</v>
      </c>
      <c r="C519" s="19" t="s">
        <v>553</v>
      </c>
      <c r="D519" s="19">
        <v>2016</v>
      </c>
      <c r="E519" s="19" t="s">
        <v>1776</v>
      </c>
      <c r="F519" s="19">
        <v>80090292</v>
      </c>
      <c r="G519" s="19" t="s">
        <v>2262</v>
      </c>
      <c r="H519" s="19" t="s">
        <v>2263</v>
      </c>
      <c r="I519" s="19" t="s">
        <v>31</v>
      </c>
      <c r="J519" s="20">
        <v>1</v>
      </c>
      <c r="K519" s="21">
        <v>42814</v>
      </c>
      <c r="L519" s="21">
        <v>42822</v>
      </c>
      <c r="M519" s="21">
        <v>44468</v>
      </c>
      <c r="N519" s="24" t="s">
        <v>2448</v>
      </c>
      <c r="O519" s="19" t="s">
        <v>557</v>
      </c>
      <c r="P519" s="19" t="s">
        <v>609</v>
      </c>
      <c r="Q519" s="19" t="s">
        <v>856</v>
      </c>
      <c r="R519" s="19" t="s">
        <v>560</v>
      </c>
      <c r="S519" s="19" t="s">
        <v>2264</v>
      </c>
      <c r="T519" t="s">
        <v>169</v>
      </c>
      <c r="U519" s="22">
        <v>177769.68</v>
      </c>
      <c r="V519" s="22">
        <v>0</v>
      </c>
      <c r="W519" s="22">
        <v>55668.85</v>
      </c>
      <c r="X519" s="22">
        <v>0</v>
      </c>
      <c r="Y519" s="22">
        <v>43830.37</v>
      </c>
      <c r="Z519" s="22">
        <v>0</v>
      </c>
      <c r="AA519" s="22">
        <v>0</v>
      </c>
      <c r="AB519" s="22">
        <v>0</v>
      </c>
      <c r="AC519" s="22">
        <v>0</v>
      </c>
      <c r="AD519" s="22">
        <v>0</v>
      </c>
      <c r="AE519" s="22">
        <v>277268.90000000002</v>
      </c>
      <c r="AF519" s="22">
        <f t="shared" si="8"/>
        <v>277268.90000000002</v>
      </c>
      <c r="AG519" s="22">
        <v>0</v>
      </c>
      <c r="AH519" s="22">
        <v>277268.90000000002</v>
      </c>
      <c r="AI519" t="s">
        <v>562</v>
      </c>
      <c r="AJ519" t="s">
        <v>1306</v>
      </c>
    </row>
    <row r="520" spans="1:36" ht="43.5" outlineLevel="2" x14ac:dyDescent="0.35">
      <c r="A520" s="19" t="s">
        <v>551</v>
      </c>
      <c r="B520" s="19" t="s">
        <v>986</v>
      </c>
      <c r="C520" s="19" t="s">
        <v>553</v>
      </c>
      <c r="D520" s="19">
        <v>2016</v>
      </c>
      <c r="E520" s="19" t="s">
        <v>1776</v>
      </c>
      <c r="F520" s="19">
        <v>80090537</v>
      </c>
      <c r="G520" s="19" t="s">
        <v>2265</v>
      </c>
      <c r="H520" s="19" t="s">
        <v>2266</v>
      </c>
      <c r="I520" s="19" t="s">
        <v>31</v>
      </c>
      <c r="J520" s="20">
        <v>1</v>
      </c>
      <c r="K520" s="21">
        <v>42812</v>
      </c>
      <c r="L520" s="21">
        <v>42818</v>
      </c>
      <c r="M520" s="21">
        <v>42956</v>
      </c>
      <c r="N520" s="24" t="s">
        <v>2448</v>
      </c>
      <c r="O520" s="19" t="s">
        <v>557</v>
      </c>
      <c r="P520" s="19" t="s">
        <v>568</v>
      </c>
      <c r="Q520" s="19" t="s">
        <v>704</v>
      </c>
      <c r="R520" s="19" t="s">
        <v>578</v>
      </c>
      <c r="S520" s="19" t="s">
        <v>2267</v>
      </c>
      <c r="T520" t="s">
        <v>169</v>
      </c>
      <c r="U520" s="22">
        <v>0</v>
      </c>
      <c r="V520" s="22">
        <v>0</v>
      </c>
      <c r="W520" s="22">
        <v>295.63</v>
      </c>
      <c r="X520" s="22">
        <v>0</v>
      </c>
      <c r="Y520" s="22">
        <v>78.89</v>
      </c>
      <c r="Z520" s="22">
        <v>0</v>
      </c>
      <c r="AA520" s="22">
        <v>0</v>
      </c>
      <c r="AB520" s="22">
        <v>0</v>
      </c>
      <c r="AC520" s="22">
        <v>0</v>
      </c>
      <c r="AD520" s="22">
        <v>0</v>
      </c>
      <c r="AE520" s="22">
        <v>374.52</v>
      </c>
      <c r="AF520" s="22">
        <f t="shared" si="8"/>
        <v>374.52</v>
      </c>
      <c r="AG520" s="22">
        <v>0</v>
      </c>
      <c r="AH520" s="22">
        <v>374.52</v>
      </c>
      <c r="AI520" t="s">
        <v>562</v>
      </c>
      <c r="AJ520" t="s">
        <v>1306</v>
      </c>
    </row>
    <row r="521" spans="1:36" ht="58" outlineLevel="2" x14ac:dyDescent="0.35">
      <c r="A521" s="19" t="s">
        <v>551</v>
      </c>
      <c r="B521" s="19" t="s">
        <v>572</v>
      </c>
      <c r="C521" s="19" t="s">
        <v>573</v>
      </c>
      <c r="D521" s="19">
        <v>2016</v>
      </c>
      <c r="E521" s="19" t="s">
        <v>1776</v>
      </c>
      <c r="F521" s="19">
        <v>80090414</v>
      </c>
      <c r="G521" s="19" t="s">
        <v>2268</v>
      </c>
      <c r="H521" s="19" t="s">
        <v>2269</v>
      </c>
      <c r="I521" s="19" t="s">
        <v>31</v>
      </c>
      <c r="J521" s="20">
        <v>1</v>
      </c>
      <c r="K521" s="21">
        <v>42810</v>
      </c>
      <c r="L521" s="21">
        <v>42810</v>
      </c>
      <c r="M521" s="21">
        <v>44033</v>
      </c>
      <c r="N521" s="24" t="s">
        <v>2448</v>
      </c>
      <c r="O521" s="19" t="s">
        <v>557</v>
      </c>
      <c r="P521" s="19" t="s">
        <v>558</v>
      </c>
      <c r="Q521" s="19" t="s">
        <v>683</v>
      </c>
      <c r="R521" s="19" t="s">
        <v>591</v>
      </c>
      <c r="S521" s="19" t="s">
        <v>2270</v>
      </c>
      <c r="T521" t="s">
        <v>282</v>
      </c>
      <c r="U521" s="22">
        <v>12381</v>
      </c>
      <c r="V521" s="22">
        <v>0</v>
      </c>
      <c r="W521" s="22">
        <v>12127.5</v>
      </c>
      <c r="X521" s="22">
        <v>0</v>
      </c>
      <c r="Y521" s="22">
        <v>5325.65</v>
      </c>
      <c r="Z521" s="22">
        <v>0</v>
      </c>
      <c r="AA521" s="22">
        <v>0</v>
      </c>
      <c r="AB521" s="22">
        <v>-271.12</v>
      </c>
      <c r="AC521" s="22">
        <v>0</v>
      </c>
      <c r="AD521" s="22">
        <v>0</v>
      </c>
      <c r="AE521" s="22">
        <v>29834.15</v>
      </c>
      <c r="AF521" s="22">
        <f t="shared" si="8"/>
        <v>29563.030000000002</v>
      </c>
      <c r="AG521" s="22">
        <v>0</v>
      </c>
      <c r="AH521" s="22">
        <v>29563.03</v>
      </c>
      <c r="AI521" t="s">
        <v>562</v>
      </c>
      <c r="AJ521" t="s">
        <v>1306</v>
      </c>
    </row>
    <row r="522" spans="1:36" ht="29" outlineLevel="2" x14ac:dyDescent="0.35">
      <c r="A522" s="19" t="s">
        <v>551</v>
      </c>
      <c r="B522" s="19" t="s">
        <v>658</v>
      </c>
      <c r="C522" s="19" t="s">
        <v>643</v>
      </c>
      <c r="D522" s="19">
        <v>2016</v>
      </c>
      <c r="E522" s="19" t="s">
        <v>1776</v>
      </c>
      <c r="F522" s="19">
        <v>80090406</v>
      </c>
      <c r="G522" s="19" t="s">
        <v>2271</v>
      </c>
      <c r="H522" s="19" t="s">
        <v>2272</v>
      </c>
      <c r="I522" s="19" t="s">
        <v>31</v>
      </c>
      <c r="J522" s="20">
        <v>1</v>
      </c>
      <c r="K522" s="21">
        <v>42808</v>
      </c>
      <c r="L522" s="21">
        <v>42809</v>
      </c>
      <c r="M522" s="21">
        <v>43017</v>
      </c>
      <c r="N522" s="24" t="s">
        <v>2448</v>
      </c>
      <c r="O522" s="19" t="s">
        <v>557</v>
      </c>
      <c r="P522" s="19" t="s">
        <v>568</v>
      </c>
      <c r="Q522" s="19" t="s">
        <v>634</v>
      </c>
      <c r="R522" s="19" t="s">
        <v>616</v>
      </c>
      <c r="S522" s="19" t="s">
        <v>2273</v>
      </c>
      <c r="T522" t="s">
        <v>62</v>
      </c>
      <c r="U522" s="22">
        <v>0</v>
      </c>
      <c r="V522" s="22">
        <v>0</v>
      </c>
      <c r="W522" s="22">
        <v>987.24</v>
      </c>
      <c r="X522" s="22">
        <v>0</v>
      </c>
      <c r="Y522" s="22">
        <v>139.1</v>
      </c>
      <c r="Z522" s="22">
        <v>0</v>
      </c>
      <c r="AA522" s="22">
        <v>0</v>
      </c>
      <c r="AB522" s="22">
        <v>-50.01</v>
      </c>
      <c r="AC522" s="22">
        <v>0</v>
      </c>
      <c r="AD522" s="22">
        <v>0</v>
      </c>
      <c r="AE522" s="22">
        <v>1126.3399999999999</v>
      </c>
      <c r="AF522" s="22">
        <f t="shared" si="8"/>
        <v>1076.33</v>
      </c>
      <c r="AG522" s="22">
        <v>0</v>
      </c>
      <c r="AH522" s="22">
        <v>1076.33</v>
      </c>
      <c r="AI522" t="s">
        <v>562</v>
      </c>
      <c r="AJ522" t="s">
        <v>1306</v>
      </c>
    </row>
    <row r="523" spans="1:36" ht="58" outlineLevel="2" x14ac:dyDescent="0.35">
      <c r="A523" s="19" t="s">
        <v>551</v>
      </c>
      <c r="B523" s="19" t="s">
        <v>636</v>
      </c>
      <c r="C523" s="19" t="s">
        <v>594</v>
      </c>
      <c r="D523" s="19">
        <v>2016</v>
      </c>
      <c r="E523" s="19" t="s">
        <v>1776</v>
      </c>
      <c r="F523" s="19">
        <v>80090268</v>
      </c>
      <c r="G523" s="19" t="s">
        <v>2274</v>
      </c>
      <c r="H523" s="19" t="s">
        <v>2275</v>
      </c>
      <c r="I523" s="19" t="s">
        <v>31</v>
      </c>
      <c r="J523" s="20">
        <v>1</v>
      </c>
      <c r="K523" s="21">
        <v>42801</v>
      </c>
      <c r="L523" s="21">
        <v>42803</v>
      </c>
      <c r="M523" s="21">
        <v>43698</v>
      </c>
      <c r="N523" s="24" t="s">
        <v>2448</v>
      </c>
      <c r="O523" s="19" t="s">
        <v>557</v>
      </c>
      <c r="P523" s="19" t="s">
        <v>609</v>
      </c>
      <c r="Q523" s="19" t="s">
        <v>590</v>
      </c>
      <c r="R523" s="19" t="s">
        <v>650</v>
      </c>
      <c r="S523" s="19" t="s">
        <v>2276</v>
      </c>
      <c r="T523" t="s">
        <v>33</v>
      </c>
      <c r="U523" s="22">
        <v>80577.84</v>
      </c>
      <c r="V523" s="22">
        <v>0</v>
      </c>
      <c r="W523" s="22">
        <v>5879.39</v>
      </c>
      <c r="X523" s="22">
        <v>0</v>
      </c>
      <c r="Y523" s="22">
        <v>32041.7</v>
      </c>
      <c r="Z523" s="22">
        <v>0</v>
      </c>
      <c r="AA523" s="22">
        <v>0</v>
      </c>
      <c r="AB523" s="22">
        <v>-11.54</v>
      </c>
      <c r="AC523" s="22">
        <v>0</v>
      </c>
      <c r="AD523" s="22">
        <v>0</v>
      </c>
      <c r="AE523" s="22">
        <v>118498.93</v>
      </c>
      <c r="AF523" s="22">
        <f t="shared" si="8"/>
        <v>118487.39</v>
      </c>
      <c r="AG523" s="22">
        <v>0</v>
      </c>
      <c r="AH523" s="22">
        <v>118487.39</v>
      </c>
      <c r="AI523" t="s">
        <v>562</v>
      </c>
      <c r="AJ523" t="s">
        <v>1306</v>
      </c>
    </row>
    <row r="524" spans="1:36" ht="43.5" outlineLevel="2" x14ac:dyDescent="0.35">
      <c r="A524" s="19" t="s">
        <v>551</v>
      </c>
      <c r="B524" s="19" t="s">
        <v>658</v>
      </c>
      <c r="C524" s="19" t="s">
        <v>643</v>
      </c>
      <c r="D524" s="19">
        <v>2016</v>
      </c>
      <c r="E524" s="19" t="s">
        <v>1776</v>
      </c>
      <c r="F524" s="19">
        <v>80090282</v>
      </c>
      <c r="G524" s="19" t="s">
        <v>2277</v>
      </c>
      <c r="H524" s="19" t="s">
        <v>2278</v>
      </c>
      <c r="I524" s="19" t="s">
        <v>31</v>
      </c>
      <c r="J524" s="20">
        <v>1</v>
      </c>
      <c r="K524" s="21">
        <v>42798</v>
      </c>
      <c r="L524" s="21">
        <v>42802</v>
      </c>
      <c r="M524" s="21">
        <v>43026</v>
      </c>
      <c r="N524" s="24" t="s">
        <v>2448</v>
      </c>
      <c r="O524" s="19" t="s">
        <v>557</v>
      </c>
      <c r="P524" s="19" t="s">
        <v>568</v>
      </c>
      <c r="Q524" s="19" t="s">
        <v>655</v>
      </c>
      <c r="R524" s="19" t="s">
        <v>578</v>
      </c>
      <c r="S524" s="19" t="s">
        <v>2279</v>
      </c>
      <c r="T524" t="s">
        <v>62</v>
      </c>
      <c r="U524" s="22">
        <v>0</v>
      </c>
      <c r="V524" s="22">
        <v>0</v>
      </c>
      <c r="W524" s="22">
        <v>1159.1600000000001</v>
      </c>
      <c r="X524" s="22">
        <v>0</v>
      </c>
      <c r="Y524" s="22">
        <v>39.380000000000003</v>
      </c>
      <c r="Z524" s="22">
        <v>0</v>
      </c>
      <c r="AA524" s="22">
        <v>0</v>
      </c>
      <c r="AB524" s="22">
        <v>0</v>
      </c>
      <c r="AC524" s="22">
        <v>0</v>
      </c>
      <c r="AD524" s="22">
        <v>0</v>
      </c>
      <c r="AE524" s="22">
        <v>1198.54</v>
      </c>
      <c r="AF524" s="22">
        <f t="shared" si="8"/>
        <v>1198.54</v>
      </c>
      <c r="AG524" s="22">
        <v>0</v>
      </c>
      <c r="AH524" s="22">
        <v>1198.54</v>
      </c>
      <c r="AI524" t="s">
        <v>562</v>
      </c>
      <c r="AJ524" t="s">
        <v>1306</v>
      </c>
    </row>
    <row r="525" spans="1:36" ht="72.5" outlineLevel="2" x14ac:dyDescent="0.35">
      <c r="A525" s="19" t="s">
        <v>551</v>
      </c>
      <c r="B525" s="19" t="s">
        <v>572</v>
      </c>
      <c r="C525" s="19" t="s">
        <v>573</v>
      </c>
      <c r="D525" s="19">
        <v>2016</v>
      </c>
      <c r="E525" s="19" t="s">
        <v>1776</v>
      </c>
      <c r="F525" s="19">
        <v>80090280</v>
      </c>
      <c r="G525" s="19" t="s">
        <v>2280</v>
      </c>
      <c r="H525" s="19" t="s">
        <v>2281</v>
      </c>
      <c r="I525" s="19" t="s">
        <v>31</v>
      </c>
      <c r="J525" s="20">
        <v>1</v>
      </c>
      <c r="K525" s="21">
        <v>42793</v>
      </c>
      <c r="L525" s="21">
        <v>42801</v>
      </c>
      <c r="M525" s="21">
        <v>42989</v>
      </c>
      <c r="N525" s="24" t="s">
        <v>2448</v>
      </c>
      <c r="O525" s="19" t="s">
        <v>557</v>
      </c>
      <c r="P525" s="19" t="s">
        <v>568</v>
      </c>
      <c r="Q525" s="19" t="s">
        <v>625</v>
      </c>
      <c r="R525" s="19" t="s">
        <v>578</v>
      </c>
      <c r="S525" s="19" t="s">
        <v>2282</v>
      </c>
      <c r="T525" t="s">
        <v>139</v>
      </c>
      <c r="U525" s="22">
        <v>0</v>
      </c>
      <c r="V525" s="22">
        <v>0</v>
      </c>
      <c r="W525" s="22">
        <v>569.79</v>
      </c>
      <c r="X525" s="22">
        <v>0</v>
      </c>
      <c r="Y525" s="22">
        <v>134.4</v>
      </c>
      <c r="Z525" s="22">
        <v>0</v>
      </c>
      <c r="AA525" s="22">
        <v>0</v>
      </c>
      <c r="AB525" s="22">
        <v>-21.71</v>
      </c>
      <c r="AC525" s="22">
        <v>0</v>
      </c>
      <c r="AD525" s="22">
        <v>0</v>
      </c>
      <c r="AE525" s="22">
        <v>704.19</v>
      </c>
      <c r="AF525" s="22">
        <f t="shared" si="8"/>
        <v>682.48</v>
      </c>
      <c r="AG525" s="22">
        <v>0</v>
      </c>
      <c r="AH525" s="22">
        <v>682.48</v>
      </c>
      <c r="AI525" t="s">
        <v>562</v>
      </c>
      <c r="AJ525" t="s">
        <v>1306</v>
      </c>
    </row>
    <row r="526" spans="1:36" ht="101.5" outlineLevel="2" x14ac:dyDescent="0.35">
      <c r="A526" s="19" t="s">
        <v>551</v>
      </c>
      <c r="B526" s="19" t="s">
        <v>1450</v>
      </c>
      <c r="C526" s="19" t="s">
        <v>1451</v>
      </c>
      <c r="D526" s="19">
        <v>2016</v>
      </c>
      <c r="E526" s="19" t="s">
        <v>1776</v>
      </c>
      <c r="F526" s="19">
        <v>80090317</v>
      </c>
      <c r="G526" s="19" t="s">
        <v>2283</v>
      </c>
      <c r="H526" s="19" t="s">
        <v>2284</v>
      </c>
      <c r="I526" s="19" t="s">
        <v>31</v>
      </c>
      <c r="J526" s="20">
        <v>1</v>
      </c>
      <c r="K526" s="21">
        <v>42780</v>
      </c>
      <c r="L526" s="21">
        <v>42935</v>
      </c>
      <c r="M526" s="21">
        <v>42979</v>
      </c>
      <c r="N526" s="24" t="s">
        <v>2448</v>
      </c>
      <c r="O526" s="19" t="s">
        <v>557</v>
      </c>
      <c r="P526" s="19" t="s">
        <v>568</v>
      </c>
      <c r="Q526" s="19" t="s">
        <v>1019</v>
      </c>
      <c r="R526" s="19" t="s">
        <v>578</v>
      </c>
      <c r="S526" s="19" t="s">
        <v>2285</v>
      </c>
      <c r="T526" t="s">
        <v>314</v>
      </c>
      <c r="U526" s="22">
        <v>0</v>
      </c>
      <c r="V526" s="22">
        <v>0</v>
      </c>
      <c r="W526" s="22">
        <v>544.89</v>
      </c>
      <c r="X526" s="22">
        <v>0</v>
      </c>
      <c r="Y526" s="22">
        <v>55.17</v>
      </c>
      <c r="Z526" s="22">
        <v>0</v>
      </c>
      <c r="AA526" s="22">
        <v>0</v>
      </c>
      <c r="AB526" s="22">
        <v>0</v>
      </c>
      <c r="AC526" s="22">
        <v>0</v>
      </c>
      <c r="AD526" s="22">
        <v>0</v>
      </c>
      <c r="AE526" s="22">
        <v>600.05999999999995</v>
      </c>
      <c r="AF526" s="22">
        <f t="shared" si="8"/>
        <v>600.05999999999995</v>
      </c>
      <c r="AG526" s="22">
        <v>0</v>
      </c>
      <c r="AH526" s="22">
        <v>600.05999999999995</v>
      </c>
      <c r="AI526" t="s">
        <v>562</v>
      </c>
      <c r="AJ526" t="s">
        <v>1306</v>
      </c>
    </row>
    <row r="527" spans="1:36" ht="72.5" outlineLevel="2" x14ac:dyDescent="0.35">
      <c r="A527" s="19" t="s">
        <v>551</v>
      </c>
      <c r="B527" s="19" t="s">
        <v>621</v>
      </c>
      <c r="C527" s="19" t="s">
        <v>622</v>
      </c>
      <c r="D527" s="19">
        <v>2016</v>
      </c>
      <c r="E527" s="19" t="s">
        <v>1776</v>
      </c>
      <c r="F527" s="19">
        <v>80090366</v>
      </c>
      <c r="G527" s="19" t="s">
        <v>2286</v>
      </c>
      <c r="H527" s="19" t="s">
        <v>2287</v>
      </c>
      <c r="I527" s="19" t="s">
        <v>31</v>
      </c>
      <c r="J527" s="20">
        <v>1</v>
      </c>
      <c r="K527" s="21">
        <v>42773</v>
      </c>
      <c r="L527" s="21">
        <v>42774</v>
      </c>
      <c r="M527" s="21">
        <v>42942</v>
      </c>
      <c r="N527" s="24" t="s">
        <v>2448</v>
      </c>
      <c r="O527" s="19" t="s">
        <v>557</v>
      </c>
      <c r="P527" s="19" t="s">
        <v>568</v>
      </c>
      <c r="Q527" s="19" t="s">
        <v>655</v>
      </c>
      <c r="R527" s="19" t="s">
        <v>578</v>
      </c>
      <c r="S527" s="19" t="s">
        <v>2288</v>
      </c>
      <c r="T527" t="s">
        <v>69</v>
      </c>
      <c r="U527" s="22">
        <v>0</v>
      </c>
      <c r="V527" s="22">
        <v>0</v>
      </c>
      <c r="W527" s="22">
        <v>306.04000000000002</v>
      </c>
      <c r="X527" s="22">
        <v>0</v>
      </c>
      <c r="Y527" s="22">
        <v>12.45</v>
      </c>
      <c r="Z527" s="22">
        <v>0</v>
      </c>
      <c r="AA527" s="22">
        <v>0</v>
      </c>
      <c r="AB527" s="22">
        <v>0</v>
      </c>
      <c r="AC527" s="22">
        <v>0</v>
      </c>
      <c r="AD527" s="22">
        <v>0</v>
      </c>
      <c r="AE527" s="22">
        <v>318.49</v>
      </c>
      <c r="AF527" s="22">
        <f t="shared" si="8"/>
        <v>318.49</v>
      </c>
      <c r="AG527" s="22">
        <v>0</v>
      </c>
      <c r="AH527" s="22">
        <v>318.49</v>
      </c>
      <c r="AI527" t="s">
        <v>562</v>
      </c>
      <c r="AJ527" t="s">
        <v>1306</v>
      </c>
    </row>
    <row r="528" spans="1:36" ht="72.5" outlineLevel="2" x14ac:dyDescent="0.35">
      <c r="A528" s="19" t="s">
        <v>551</v>
      </c>
      <c r="B528" s="19" t="s">
        <v>996</v>
      </c>
      <c r="C528" s="19" t="s">
        <v>997</v>
      </c>
      <c r="D528" s="19">
        <v>2016</v>
      </c>
      <c r="E528" s="19" t="s">
        <v>1776</v>
      </c>
      <c r="F528" s="19">
        <v>80090369</v>
      </c>
      <c r="G528" s="19" t="s">
        <v>2289</v>
      </c>
      <c r="H528" s="19" t="s">
        <v>2290</v>
      </c>
      <c r="I528" s="19" t="s">
        <v>31</v>
      </c>
      <c r="J528" s="20">
        <v>1</v>
      </c>
      <c r="K528" s="21">
        <v>42773</v>
      </c>
      <c r="L528" s="21">
        <v>42774</v>
      </c>
      <c r="M528" s="21">
        <v>43090</v>
      </c>
      <c r="N528" s="24" t="s">
        <v>2448</v>
      </c>
      <c r="O528" s="19" t="s">
        <v>557</v>
      </c>
      <c r="Q528" s="19" t="s">
        <v>569</v>
      </c>
      <c r="R528" s="19" t="s">
        <v>570</v>
      </c>
      <c r="S528" s="19" t="s">
        <v>2291</v>
      </c>
      <c r="T528" t="s">
        <v>51</v>
      </c>
      <c r="U528" s="22">
        <v>0</v>
      </c>
      <c r="V528" s="22">
        <v>0</v>
      </c>
      <c r="W528" s="22">
        <v>2740.3</v>
      </c>
      <c r="X528" s="22">
        <v>0</v>
      </c>
      <c r="Y528" s="22">
        <v>562.21</v>
      </c>
      <c r="Z528" s="22">
        <v>0</v>
      </c>
      <c r="AA528" s="22">
        <v>0</v>
      </c>
      <c r="AB528" s="22">
        <v>-105.66</v>
      </c>
      <c r="AC528" s="22">
        <v>0</v>
      </c>
      <c r="AD528" s="22">
        <v>0</v>
      </c>
      <c r="AE528" s="22">
        <v>3302.51</v>
      </c>
      <c r="AF528" s="22">
        <f t="shared" si="8"/>
        <v>3196.8500000000004</v>
      </c>
      <c r="AG528" s="22">
        <v>0</v>
      </c>
      <c r="AH528" s="22">
        <v>3196.85</v>
      </c>
      <c r="AI528" t="s">
        <v>562</v>
      </c>
      <c r="AJ528" t="s">
        <v>1306</v>
      </c>
    </row>
    <row r="529" spans="1:36" ht="58" outlineLevel="2" x14ac:dyDescent="0.35">
      <c r="A529" s="19" t="s">
        <v>551</v>
      </c>
      <c r="B529" s="19" t="s">
        <v>1015</v>
      </c>
      <c r="C529" s="19" t="s">
        <v>1016</v>
      </c>
      <c r="D529" s="19">
        <v>2016</v>
      </c>
      <c r="E529" s="19" t="s">
        <v>1776</v>
      </c>
      <c r="F529" s="19">
        <v>80090355</v>
      </c>
      <c r="G529" s="19" t="s">
        <v>2292</v>
      </c>
      <c r="H529" s="19" t="s">
        <v>2293</v>
      </c>
      <c r="I529" s="19" t="s">
        <v>31</v>
      </c>
      <c r="J529" s="20">
        <v>1</v>
      </c>
      <c r="K529" s="21">
        <v>42765</v>
      </c>
      <c r="L529" s="21">
        <v>42769</v>
      </c>
      <c r="M529" s="21">
        <v>42788</v>
      </c>
      <c r="N529" s="24" t="s">
        <v>2448</v>
      </c>
      <c r="O529" s="19" t="s">
        <v>557</v>
      </c>
      <c r="P529" s="19" t="s">
        <v>665</v>
      </c>
      <c r="Q529" s="19" t="s">
        <v>649</v>
      </c>
      <c r="R529" s="19" t="s">
        <v>570</v>
      </c>
      <c r="S529" s="19" t="s">
        <v>2294</v>
      </c>
      <c r="T529" t="s">
        <v>1021</v>
      </c>
      <c r="U529" s="22">
        <v>0</v>
      </c>
      <c r="V529" s="22">
        <v>0</v>
      </c>
      <c r="W529" s="22">
        <v>583.24</v>
      </c>
      <c r="X529" s="22">
        <v>0</v>
      </c>
      <c r="Y529" s="22">
        <v>44.27</v>
      </c>
      <c r="Z529" s="22">
        <v>0</v>
      </c>
      <c r="AA529" s="22">
        <v>0</v>
      </c>
      <c r="AB529" s="22">
        <v>0</v>
      </c>
      <c r="AC529" s="22">
        <v>0</v>
      </c>
      <c r="AD529" s="22">
        <v>0</v>
      </c>
      <c r="AE529" s="22">
        <v>627.51</v>
      </c>
      <c r="AF529" s="22">
        <f t="shared" si="8"/>
        <v>627.51</v>
      </c>
      <c r="AG529" s="22">
        <v>0</v>
      </c>
      <c r="AH529" s="22">
        <v>627.51</v>
      </c>
      <c r="AI529" t="s">
        <v>562</v>
      </c>
      <c r="AJ529" t="s">
        <v>1306</v>
      </c>
    </row>
    <row r="530" spans="1:36" ht="58" outlineLevel="2" x14ac:dyDescent="0.35">
      <c r="A530" s="19" t="s">
        <v>551</v>
      </c>
      <c r="B530" s="19" t="s">
        <v>552</v>
      </c>
      <c r="C530" s="19" t="s">
        <v>553</v>
      </c>
      <c r="D530" s="19">
        <v>2016</v>
      </c>
      <c r="E530" s="19" t="s">
        <v>1776</v>
      </c>
      <c r="F530" s="19">
        <v>80090258</v>
      </c>
      <c r="G530" s="19" t="s">
        <v>2295</v>
      </c>
      <c r="H530" s="19" t="s">
        <v>2296</v>
      </c>
      <c r="I530" s="19" t="s">
        <v>31</v>
      </c>
      <c r="J530" s="20">
        <v>1</v>
      </c>
      <c r="K530" s="21">
        <v>42762</v>
      </c>
      <c r="L530" s="21">
        <v>42762</v>
      </c>
      <c r="M530" s="21">
        <v>43585</v>
      </c>
      <c r="N530" s="24" t="s">
        <v>2448</v>
      </c>
      <c r="O530" s="19" t="s">
        <v>557</v>
      </c>
      <c r="P530" s="19" t="s">
        <v>665</v>
      </c>
      <c r="Q530" s="19" t="s">
        <v>569</v>
      </c>
      <c r="R530" s="19" t="s">
        <v>591</v>
      </c>
      <c r="S530" s="19" t="s">
        <v>2297</v>
      </c>
      <c r="T530" t="s">
        <v>85</v>
      </c>
      <c r="U530" s="22">
        <v>0</v>
      </c>
      <c r="V530" s="22">
        <v>0</v>
      </c>
      <c r="W530" s="22">
        <v>13758.66</v>
      </c>
      <c r="X530" s="22">
        <v>0</v>
      </c>
      <c r="Y530" s="22">
        <v>2606.65</v>
      </c>
      <c r="Z530" s="22">
        <v>0</v>
      </c>
      <c r="AA530" s="22">
        <v>0</v>
      </c>
      <c r="AB530" s="22">
        <v>0</v>
      </c>
      <c r="AC530" s="22">
        <v>0</v>
      </c>
      <c r="AD530" s="22">
        <v>0</v>
      </c>
      <c r="AE530" s="22">
        <v>16365.31</v>
      </c>
      <c r="AF530" s="22">
        <f t="shared" si="8"/>
        <v>16365.31</v>
      </c>
      <c r="AG530" s="22">
        <v>0</v>
      </c>
      <c r="AH530" s="22">
        <v>16365.31</v>
      </c>
      <c r="AI530" t="s">
        <v>562</v>
      </c>
      <c r="AJ530" t="s">
        <v>1306</v>
      </c>
    </row>
    <row r="531" spans="1:36" ht="58" outlineLevel="2" x14ac:dyDescent="0.35">
      <c r="A531" s="19" t="s">
        <v>551</v>
      </c>
      <c r="B531" s="19" t="s">
        <v>996</v>
      </c>
      <c r="C531" s="19" t="s">
        <v>997</v>
      </c>
      <c r="D531" s="19">
        <v>2016</v>
      </c>
      <c r="E531" s="19" t="s">
        <v>1776</v>
      </c>
      <c r="F531" s="19">
        <v>80090264</v>
      </c>
      <c r="G531" s="19" t="s">
        <v>2298</v>
      </c>
      <c r="H531" s="19" t="s">
        <v>2299</v>
      </c>
      <c r="I531" s="19" t="s">
        <v>31</v>
      </c>
      <c r="J531" s="20">
        <v>1</v>
      </c>
      <c r="K531" s="21">
        <v>42762</v>
      </c>
      <c r="L531" s="21">
        <v>42762</v>
      </c>
      <c r="M531" s="21">
        <v>42906</v>
      </c>
      <c r="N531" s="24" t="s">
        <v>2448</v>
      </c>
      <c r="O531" s="19" t="s">
        <v>603</v>
      </c>
      <c r="P531" s="19" t="s">
        <v>558</v>
      </c>
      <c r="Q531" s="19" t="s">
        <v>1242</v>
      </c>
      <c r="R531" s="19" t="s">
        <v>1816</v>
      </c>
      <c r="S531" s="19" t="s">
        <v>2300</v>
      </c>
      <c r="T531" t="s">
        <v>51</v>
      </c>
      <c r="U531" s="22">
        <v>0</v>
      </c>
      <c r="V531" s="22">
        <v>0</v>
      </c>
      <c r="W531" s="22">
        <v>0</v>
      </c>
      <c r="X531" s="22">
        <v>0</v>
      </c>
      <c r="Y531" s="22">
        <v>9.5</v>
      </c>
      <c r="Z531" s="22">
        <v>0</v>
      </c>
      <c r="AA531" s="22">
        <v>0</v>
      </c>
      <c r="AB531" s="22">
        <v>0</v>
      </c>
      <c r="AC531" s="22">
        <v>0</v>
      </c>
      <c r="AD531" s="22">
        <v>0</v>
      </c>
      <c r="AE531" s="22">
        <v>9.5</v>
      </c>
      <c r="AF531" s="22">
        <f t="shared" si="8"/>
        <v>9.5</v>
      </c>
      <c r="AG531" s="22">
        <v>0</v>
      </c>
      <c r="AH531" s="22">
        <v>9.5</v>
      </c>
      <c r="AI531" t="s">
        <v>562</v>
      </c>
      <c r="AJ531" t="s">
        <v>1306</v>
      </c>
    </row>
    <row r="532" spans="1:36" ht="43.5" outlineLevel="2" x14ac:dyDescent="0.35">
      <c r="A532" s="19" t="s">
        <v>551</v>
      </c>
      <c r="B532" s="19" t="s">
        <v>986</v>
      </c>
      <c r="C532" s="19" t="s">
        <v>553</v>
      </c>
      <c r="D532" s="19">
        <v>2016</v>
      </c>
      <c r="E532" s="19" t="s">
        <v>1776</v>
      </c>
      <c r="F532" s="19">
        <v>80090347</v>
      </c>
      <c r="G532" s="19" t="s">
        <v>2301</v>
      </c>
      <c r="H532" s="19" t="s">
        <v>2302</v>
      </c>
      <c r="I532" s="19" t="s">
        <v>31</v>
      </c>
      <c r="J532" s="20">
        <v>1</v>
      </c>
      <c r="K532" s="21">
        <v>42758</v>
      </c>
      <c r="L532" s="21">
        <v>42768</v>
      </c>
      <c r="M532" s="21">
        <v>42951</v>
      </c>
      <c r="N532" s="24" t="s">
        <v>2448</v>
      </c>
      <c r="O532" s="19" t="s">
        <v>557</v>
      </c>
      <c r="P532" s="19" t="s">
        <v>568</v>
      </c>
      <c r="Q532" s="19" t="s">
        <v>655</v>
      </c>
      <c r="R532" s="19" t="s">
        <v>578</v>
      </c>
      <c r="S532" s="19" t="s">
        <v>2303</v>
      </c>
      <c r="T532" t="s">
        <v>169</v>
      </c>
      <c r="U532" s="22">
        <v>0</v>
      </c>
      <c r="V532" s="22">
        <v>0</v>
      </c>
      <c r="W532" s="22">
        <v>109.85</v>
      </c>
      <c r="X532" s="22">
        <v>0</v>
      </c>
      <c r="Y532" s="22">
        <v>32.81</v>
      </c>
      <c r="Z532" s="22">
        <v>0</v>
      </c>
      <c r="AA532" s="22">
        <v>0</v>
      </c>
      <c r="AB532" s="22">
        <v>0</v>
      </c>
      <c r="AC532" s="22">
        <v>0</v>
      </c>
      <c r="AD532" s="22">
        <v>0</v>
      </c>
      <c r="AE532" s="22">
        <v>142.66</v>
      </c>
      <c r="AF532" s="22">
        <f t="shared" si="8"/>
        <v>142.66</v>
      </c>
      <c r="AG532" s="22">
        <v>0</v>
      </c>
      <c r="AH532" s="22">
        <v>142.66</v>
      </c>
      <c r="AI532" t="s">
        <v>562</v>
      </c>
      <c r="AJ532" t="s">
        <v>1306</v>
      </c>
    </row>
    <row r="533" spans="1:36" ht="87" outlineLevel="2" x14ac:dyDescent="0.35">
      <c r="A533" s="19" t="s">
        <v>551</v>
      </c>
      <c r="B533" s="19" t="s">
        <v>1384</v>
      </c>
      <c r="C533" s="19" t="s">
        <v>1385</v>
      </c>
      <c r="D533" s="19">
        <v>2016</v>
      </c>
      <c r="E533" s="19" t="s">
        <v>1776</v>
      </c>
      <c r="F533" s="19">
        <v>80090350</v>
      </c>
      <c r="G533" s="19" t="s">
        <v>2304</v>
      </c>
      <c r="H533" s="19" t="s">
        <v>2305</v>
      </c>
      <c r="I533" s="19" t="s">
        <v>31</v>
      </c>
      <c r="J533" s="20">
        <v>1</v>
      </c>
      <c r="K533" s="21">
        <v>42746</v>
      </c>
      <c r="L533" s="21">
        <v>42746</v>
      </c>
      <c r="M533" s="21">
        <v>42758</v>
      </c>
      <c r="N533" s="24" t="s">
        <v>2448</v>
      </c>
      <c r="O533" s="19" t="s">
        <v>557</v>
      </c>
      <c r="P533" s="19" t="s">
        <v>558</v>
      </c>
      <c r="Q533" s="19" t="s">
        <v>762</v>
      </c>
      <c r="R533" s="19" t="s">
        <v>570</v>
      </c>
      <c r="S533" s="19" t="s">
        <v>2306</v>
      </c>
      <c r="T533" t="s">
        <v>1389</v>
      </c>
      <c r="U533" s="22">
        <v>0</v>
      </c>
      <c r="V533" s="22">
        <v>0</v>
      </c>
      <c r="W533" s="22">
        <v>0</v>
      </c>
      <c r="X533" s="22">
        <v>0</v>
      </c>
      <c r="Y533" s="22">
        <v>0</v>
      </c>
      <c r="Z533" s="22">
        <v>0</v>
      </c>
      <c r="AA533" s="22">
        <v>0</v>
      </c>
      <c r="AB533" s="22">
        <v>0</v>
      </c>
      <c r="AC533" s="22">
        <v>0</v>
      </c>
      <c r="AD533" s="22">
        <v>0</v>
      </c>
      <c r="AE533" s="22">
        <v>0</v>
      </c>
      <c r="AF533" s="22">
        <f t="shared" si="8"/>
        <v>0</v>
      </c>
      <c r="AG533" s="22">
        <v>0</v>
      </c>
      <c r="AH533" s="22">
        <v>0</v>
      </c>
      <c r="AI533" t="s">
        <v>562</v>
      </c>
      <c r="AJ533" t="s">
        <v>1306</v>
      </c>
    </row>
    <row r="534" spans="1:36" ht="43.5" outlineLevel="2" x14ac:dyDescent="0.35">
      <c r="A534" s="19" t="s">
        <v>551</v>
      </c>
      <c r="B534" s="19" t="s">
        <v>586</v>
      </c>
      <c r="C534" s="19" t="s">
        <v>587</v>
      </c>
      <c r="D534" s="19">
        <v>2016</v>
      </c>
      <c r="E534" s="19" t="s">
        <v>1776</v>
      </c>
      <c r="F534" s="19">
        <v>80090352</v>
      </c>
      <c r="G534" s="19" t="s">
        <v>2307</v>
      </c>
      <c r="H534" s="19" t="s">
        <v>2308</v>
      </c>
      <c r="I534" s="19" t="s">
        <v>31</v>
      </c>
      <c r="J534" s="20">
        <v>1</v>
      </c>
      <c r="K534" s="21">
        <v>42744</v>
      </c>
      <c r="L534" s="21">
        <v>42768</v>
      </c>
      <c r="M534" s="21">
        <v>42788</v>
      </c>
      <c r="N534" s="24" t="s">
        <v>2448</v>
      </c>
      <c r="O534" s="19" t="s">
        <v>557</v>
      </c>
      <c r="P534" s="19" t="s">
        <v>568</v>
      </c>
      <c r="Q534" s="19" t="s">
        <v>655</v>
      </c>
      <c r="R534" s="19" t="s">
        <v>578</v>
      </c>
      <c r="S534" s="19" t="s">
        <v>2309</v>
      </c>
      <c r="T534" t="s">
        <v>45</v>
      </c>
      <c r="U534" s="22">
        <v>0</v>
      </c>
      <c r="V534" s="22">
        <v>0</v>
      </c>
      <c r="W534" s="22">
        <v>411.83</v>
      </c>
      <c r="X534" s="22">
        <v>0</v>
      </c>
      <c r="Y534" s="22">
        <v>58.53</v>
      </c>
      <c r="Z534" s="22">
        <v>0</v>
      </c>
      <c r="AA534" s="22">
        <v>0</v>
      </c>
      <c r="AB534" s="22">
        <v>0</v>
      </c>
      <c r="AC534" s="22">
        <v>0</v>
      </c>
      <c r="AD534" s="22">
        <v>0</v>
      </c>
      <c r="AE534" s="22">
        <v>470.36</v>
      </c>
      <c r="AF534" s="22">
        <f t="shared" si="8"/>
        <v>470.36</v>
      </c>
      <c r="AG534" s="22">
        <v>0</v>
      </c>
      <c r="AH534" s="22">
        <v>470.36</v>
      </c>
      <c r="AI534" t="s">
        <v>562</v>
      </c>
      <c r="AJ534" t="s">
        <v>1306</v>
      </c>
    </row>
    <row r="535" spans="1:36" ht="58" outlineLevel="2" x14ac:dyDescent="0.35">
      <c r="A535" s="19" t="s">
        <v>551</v>
      </c>
      <c r="B535" s="19" t="s">
        <v>552</v>
      </c>
      <c r="C535" s="19" t="s">
        <v>553</v>
      </c>
      <c r="D535" s="19">
        <v>2016</v>
      </c>
      <c r="E535" s="19" t="s">
        <v>1776</v>
      </c>
      <c r="F535" s="19">
        <v>80090278</v>
      </c>
      <c r="G535" s="19" t="s">
        <v>2310</v>
      </c>
      <c r="H535" s="19" t="s">
        <v>2311</v>
      </c>
      <c r="I535" s="19" t="s">
        <v>31</v>
      </c>
      <c r="J535" s="20">
        <v>1</v>
      </c>
      <c r="K535" s="21">
        <v>42741</v>
      </c>
      <c r="L535" s="21">
        <v>42781</v>
      </c>
      <c r="M535" s="21">
        <v>42971</v>
      </c>
      <c r="N535" s="24" t="s">
        <v>2448</v>
      </c>
      <c r="O535" s="19" t="s">
        <v>557</v>
      </c>
      <c r="P535" s="19" t="s">
        <v>576</v>
      </c>
      <c r="Q535" s="19" t="s">
        <v>655</v>
      </c>
      <c r="R535" s="19" t="s">
        <v>560</v>
      </c>
      <c r="S535" s="19" t="s">
        <v>2312</v>
      </c>
      <c r="T535" t="s">
        <v>85</v>
      </c>
      <c r="U535" s="22">
        <v>0</v>
      </c>
      <c r="V535" s="22">
        <v>0</v>
      </c>
      <c r="W535" s="22">
        <v>14774.49</v>
      </c>
      <c r="X535" s="22">
        <v>0</v>
      </c>
      <c r="Y535" s="22">
        <v>19</v>
      </c>
      <c r="Z535" s="22">
        <v>0</v>
      </c>
      <c r="AA535" s="22">
        <v>0</v>
      </c>
      <c r="AB535" s="22">
        <v>0</v>
      </c>
      <c r="AC535" s="22">
        <v>0</v>
      </c>
      <c r="AD535" s="22">
        <v>0</v>
      </c>
      <c r="AE535" s="22">
        <v>14793.49</v>
      </c>
      <c r="AF535" s="22">
        <f t="shared" si="8"/>
        <v>14793.49</v>
      </c>
      <c r="AG535" s="22">
        <v>0</v>
      </c>
      <c r="AH535" s="22">
        <v>14793.49</v>
      </c>
      <c r="AI535" t="s">
        <v>562</v>
      </c>
      <c r="AJ535" t="s">
        <v>1306</v>
      </c>
    </row>
    <row r="536" spans="1:36" ht="43.5" outlineLevel="2" x14ac:dyDescent="0.35">
      <c r="A536" s="19" t="s">
        <v>551</v>
      </c>
      <c r="B536" s="19" t="s">
        <v>680</v>
      </c>
      <c r="C536" s="19" t="s">
        <v>553</v>
      </c>
      <c r="D536" s="19">
        <v>2016</v>
      </c>
      <c r="E536" s="19" t="s">
        <v>1776</v>
      </c>
      <c r="F536" s="19">
        <v>80090257</v>
      </c>
      <c r="G536" s="19" t="s">
        <v>2313</v>
      </c>
      <c r="H536" s="19" t="s">
        <v>2314</v>
      </c>
      <c r="I536" s="19" t="s">
        <v>31</v>
      </c>
      <c r="J536" s="20">
        <v>1</v>
      </c>
      <c r="K536" s="21">
        <v>42722</v>
      </c>
      <c r="L536" s="21">
        <v>42746</v>
      </c>
      <c r="M536" s="21">
        <v>43207</v>
      </c>
      <c r="N536" s="24" t="s">
        <v>2448</v>
      </c>
      <c r="O536" s="19" t="s">
        <v>557</v>
      </c>
      <c r="P536" s="19" t="s">
        <v>568</v>
      </c>
      <c r="Q536" s="19" t="s">
        <v>655</v>
      </c>
      <c r="R536" s="19" t="s">
        <v>578</v>
      </c>
      <c r="S536" s="19" t="s">
        <v>2315</v>
      </c>
      <c r="T536" t="s">
        <v>45</v>
      </c>
      <c r="U536" s="22">
        <v>0</v>
      </c>
      <c r="V536" s="22">
        <v>0</v>
      </c>
      <c r="W536" s="22">
        <v>0</v>
      </c>
      <c r="X536" s="22">
        <v>0</v>
      </c>
      <c r="Y536" s="22">
        <v>9.5</v>
      </c>
      <c r="Z536" s="22">
        <v>0</v>
      </c>
      <c r="AA536" s="22">
        <v>0</v>
      </c>
      <c r="AB536" s="22">
        <v>0</v>
      </c>
      <c r="AC536" s="22">
        <v>0</v>
      </c>
      <c r="AD536" s="22">
        <v>0</v>
      </c>
      <c r="AE536" s="22">
        <v>9.5</v>
      </c>
      <c r="AF536" s="22">
        <f t="shared" si="8"/>
        <v>9.5</v>
      </c>
      <c r="AG536" s="22">
        <v>0</v>
      </c>
      <c r="AH536" s="22">
        <v>9.5</v>
      </c>
      <c r="AI536" t="s">
        <v>562</v>
      </c>
      <c r="AJ536" t="s">
        <v>1306</v>
      </c>
    </row>
    <row r="537" spans="1:36" ht="58" outlineLevel="2" x14ac:dyDescent="0.35">
      <c r="A537" s="19" t="s">
        <v>551</v>
      </c>
      <c r="B537" s="19" t="s">
        <v>986</v>
      </c>
      <c r="C537" s="19" t="s">
        <v>553</v>
      </c>
      <c r="D537" s="19">
        <v>2016</v>
      </c>
      <c r="E537" s="19" t="s">
        <v>1776</v>
      </c>
      <c r="F537" s="19">
        <v>80090267</v>
      </c>
      <c r="G537" s="19" t="s">
        <v>2316</v>
      </c>
      <c r="H537" s="19" t="s">
        <v>2317</v>
      </c>
      <c r="I537" s="19" t="s">
        <v>31</v>
      </c>
      <c r="J537" s="20">
        <v>1</v>
      </c>
      <c r="K537" s="21">
        <v>42713</v>
      </c>
      <c r="L537" s="21">
        <v>42772</v>
      </c>
      <c r="M537" s="21">
        <v>42942</v>
      </c>
      <c r="N537" s="24" t="s">
        <v>2448</v>
      </c>
      <c r="O537" s="19" t="s">
        <v>557</v>
      </c>
      <c r="P537" s="19" t="s">
        <v>609</v>
      </c>
      <c r="Q537" s="19" t="s">
        <v>2038</v>
      </c>
      <c r="R537" s="19" t="s">
        <v>570</v>
      </c>
      <c r="S537" s="19" t="s">
        <v>2318</v>
      </c>
      <c r="T537" t="s">
        <v>169</v>
      </c>
      <c r="U537" s="22">
        <v>0</v>
      </c>
      <c r="V537" s="22">
        <v>0</v>
      </c>
      <c r="W537" s="22">
        <v>297.83999999999997</v>
      </c>
      <c r="X537" s="22">
        <v>0</v>
      </c>
      <c r="Y537" s="22">
        <v>94.82</v>
      </c>
      <c r="Z537" s="22">
        <v>0</v>
      </c>
      <c r="AA537" s="22">
        <v>0</v>
      </c>
      <c r="AB537" s="22">
        <v>0</v>
      </c>
      <c r="AC537" s="22">
        <v>0</v>
      </c>
      <c r="AD537" s="22">
        <v>0</v>
      </c>
      <c r="AE537" s="22">
        <v>392.66</v>
      </c>
      <c r="AF537" s="22">
        <f t="shared" si="8"/>
        <v>392.66</v>
      </c>
      <c r="AG537" s="22">
        <v>0</v>
      </c>
      <c r="AH537" s="22">
        <v>392.66</v>
      </c>
      <c r="AI537" t="s">
        <v>562</v>
      </c>
      <c r="AJ537" t="s">
        <v>1306</v>
      </c>
    </row>
    <row r="538" spans="1:36" ht="29" outlineLevel="2" x14ac:dyDescent="0.35">
      <c r="A538" s="19" t="s">
        <v>551</v>
      </c>
      <c r="B538" s="19" t="s">
        <v>2055</v>
      </c>
      <c r="C538" s="19" t="s">
        <v>2056</v>
      </c>
      <c r="D538" s="19">
        <v>2016</v>
      </c>
      <c r="E538" s="19" t="s">
        <v>1776</v>
      </c>
      <c r="F538" s="19">
        <v>80090335</v>
      </c>
      <c r="G538" s="19" t="s">
        <v>2319</v>
      </c>
      <c r="H538" s="19" t="s">
        <v>2320</v>
      </c>
      <c r="I538" s="19" t="s">
        <v>31</v>
      </c>
      <c r="J538" s="20">
        <v>1</v>
      </c>
      <c r="K538" s="21">
        <v>42711</v>
      </c>
      <c r="L538" s="21">
        <v>42929</v>
      </c>
      <c r="M538" s="21">
        <v>42976</v>
      </c>
      <c r="N538" s="24" t="s">
        <v>2448</v>
      </c>
      <c r="O538" s="19" t="s">
        <v>557</v>
      </c>
      <c r="P538" s="19" t="s">
        <v>568</v>
      </c>
      <c r="Q538" s="19" t="s">
        <v>704</v>
      </c>
      <c r="R538" s="19" t="s">
        <v>578</v>
      </c>
      <c r="S538" s="19" t="s">
        <v>2321</v>
      </c>
      <c r="T538" t="s">
        <v>51</v>
      </c>
      <c r="U538" s="22">
        <v>0</v>
      </c>
      <c r="V538" s="22">
        <v>0</v>
      </c>
      <c r="W538" s="22">
        <v>0</v>
      </c>
      <c r="X538" s="22">
        <v>0</v>
      </c>
      <c r="Y538" s="22">
        <v>0</v>
      </c>
      <c r="Z538" s="22">
        <v>0</v>
      </c>
      <c r="AA538" s="22">
        <v>0</v>
      </c>
      <c r="AB538" s="22">
        <v>0</v>
      </c>
      <c r="AC538" s="22">
        <v>0</v>
      </c>
      <c r="AD538" s="22">
        <v>0</v>
      </c>
      <c r="AE538" s="22">
        <v>0</v>
      </c>
      <c r="AF538" s="22">
        <f t="shared" si="8"/>
        <v>0</v>
      </c>
      <c r="AG538" s="22">
        <v>0</v>
      </c>
      <c r="AH538" s="22">
        <v>0</v>
      </c>
      <c r="AI538" t="s">
        <v>562</v>
      </c>
      <c r="AJ538" t="s">
        <v>1306</v>
      </c>
    </row>
    <row r="539" spans="1:36" ht="87" outlineLevel="2" x14ac:dyDescent="0.35">
      <c r="A539" s="19" t="s">
        <v>551</v>
      </c>
      <c r="B539" s="19" t="s">
        <v>572</v>
      </c>
      <c r="C539" s="19" t="s">
        <v>573</v>
      </c>
      <c r="D539" s="19">
        <v>2016</v>
      </c>
      <c r="E539" s="19" t="s">
        <v>1776</v>
      </c>
      <c r="F539" s="19">
        <v>80090251</v>
      </c>
      <c r="G539" s="19" t="s">
        <v>2322</v>
      </c>
      <c r="H539" s="19" t="s">
        <v>2323</v>
      </c>
      <c r="I539" s="19" t="s">
        <v>31</v>
      </c>
      <c r="J539" s="20">
        <v>1</v>
      </c>
      <c r="K539" s="21">
        <v>42710</v>
      </c>
      <c r="L539" s="21">
        <v>42712</v>
      </c>
      <c r="M539" s="21">
        <v>42828</v>
      </c>
      <c r="N539" s="24" t="s">
        <v>2448</v>
      </c>
      <c r="O539" s="19" t="s">
        <v>557</v>
      </c>
      <c r="P539" s="19" t="s">
        <v>665</v>
      </c>
      <c r="Q539" s="19" t="s">
        <v>871</v>
      </c>
      <c r="R539" s="19" t="s">
        <v>616</v>
      </c>
      <c r="S539" s="19" t="s">
        <v>2324</v>
      </c>
      <c r="T539" t="s">
        <v>282</v>
      </c>
      <c r="U539" s="22">
        <v>0</v>
      </c>
      <c r="V539" s="22">
        <v>0</v>
      </c>
      <c r="W539" s="22">
        <v>1152.48</v>
      </c>
      <c r="X539" s="22">
        <v>0</v>
      </c>
      <c r="Y539" s="22">
        <v>92.45</v>
      </c>
      <c r="Z539" s="22">
        <v>0</v>
      </c>
      <c r="AA539" s="22">
        <v>0</v>
      </c>
      <c r="AB539" s="22">
        <v>0</v>
      </c>
      <c r="AC539" s="22">
        <v>0</v>
      </c>
      <c r="AD539" s="22">
        <v>0</v>
      </c>
      <c r="AE539" s="22">
        <v>1244.93</v>
      </c>
      <c r="AF539" s="22">
        <f t="shared" si="8"/>
        <v>1244.93</v>
      </c>
      <c r="AG539" s="22">
        <v>0</v>
      </c>
      <c r="AH539" s="22">
        <v>1244.93</v>
      </c>
      <c r="AI539" t="s">
        <v>562</v>
      </c>
      <c r="AJ539" t="s">
        <v>1306</v>
      </c>
    </row>
    <row r="540" spans="1:36" ht="72.5" outlineLevel="2" x14ac:dyDescent="0.35">
      <c r="A540" s="19" t="s">
        <v>551</v>
      </c>
      <c r="B540" s="19" t="s">
        <v>605</v>
      </c>
      <c r="C540" s="19" t="s">
        <v>606</v>
      </c>
      <c r="D540" s="19">
        <v>2016</v>
      </c>
      <c r="E540" s="19" t="s">
        <v>1776</v>
      </c>
      <c r="F540" s="19">
        <v>80090256</v>
      </c>
      <c r="G540" s="19" t="s">
        <v>2325</v>
      </c>
      <c r="H540" s="19" t="s">
        <v>2326</v>
      </c>
      <c r="I540" s="19" t="s">
        <v>31</v>
      </c>
      <c r="J540" s="20">
        <v>1</v>
      </c>
      <c r="K540" s="21">
        <v>42705</v>
      </c>
      <c r="L540" s="21">
        <v>42716</v>
      </c>
      <c r="M540" s="21">
        <v>42760</v>
      </c>
      <c r="N540" s="24" t="s">
        <v>2448</v>
      </c>
      <c r="O540" s="19" t="s">
        <v>557</v>
      </c>
      <c r="P540" s="19" t="s">
        <v>576</v>
      </c>
      <c r="Q540" s="19" t="s">
        <v>639</v>
      </c>
      <c r="R540" s="19" t="s">
        <v>640</v>
      </c>
      <c r="S540" s="19" t="s">
        <v>2327</v>
      </c>
      <c r="T540" t="s">
        <v>69</v>
      </c>
      <c r="U540" s="22">
        <v>0</v>
      </c>
      <c r="V540" s="22">
        <v>0</v>
      </c>
      <c r="W540" s="22">
        <v>370.89</v>
      </c>
      <c r="X540" s="22">
        <v>0</v>
      </c>
      <c r="Y540" s="22">
        <v>24.9</v>
      </c>
      <c r="Z540" s="22">
        <v>0</v>
      </c>
      <c r="AA540" s="22">
        <v>0</v>
      </c>
      <c r="AB540" s="22">
        <v>0</v>
      </c>
      <c r="AC540" s="22">
        <v>0</v>
      </c>
      <c r="AD540" s="22">
        <v>0</v>
      </c>
      <c r="AE540" s="22">
        <v>395.79</v>
      </c>
      <c r="AF540" s="22">
        <f t="shared" si="8"/>
        <v>395.79</v>
      </c>
      <c r="AG540" s="22">
        <v>0</v>
      </c>
      <c r="AH540" s="22">
        <v>395.79</v>
      </c>
      <c r="AI540" t="s">
        <v>562</v>
      </c>
      <c r="AJ540" t="s">
        <v>1306</v>
      </c>
    </row>
    <row r="541" spans="1:36" ht="58" outlineLevel="2" x14ac:dyDescent="0.35">
      <c r="A541" s="19" t="s">
        <v>551</v>
      </c>
      <c r="B541" s="19" t="s">
        <v>986</v>
      </c>
      <c r="C541" s="19" t="s">
        <v>553</v>
      </c>
      <c r="D541" s="19">
        <v>2016</v>
      </c>
      <c r="E541" s="19" t="s">
        <v>1776</v>
      </c>
      <c r="F541" s="19">
        <v>80090255</v>
      </c>
      <c r="G541" s="19" t="s">
        <v>2328</v>
      </c>
      <c r="H541" s="19" t="s">
        <v>2329</v>
      </c>
      <c r="I541" s="19" t="s">
        <v>31</v>
      </c>
      <c r="J541" s="20">
        <v>1</v>
      </c>
      <c r="K541" s="21">
        <v>42691</v>
      </c>
      <c r="L541" s="21">
        <v>42695</v>
      </c>
      <c r="M541" s="21">
        <v>42739</v>
      </c>
      <c r="N541" s="24" t="s">
        <v>2448</v>
      </c>
      <c r="O541" s="19" t="s">
        <v>557</v>
      </c>
      <c r="P541" s="19" t="s">
        <v>568</v>
      </c>
      <c r="Q541" s="19" t="s">
        <v>655</v>
      </c>
      <c r="R541" s="19" t="s">
        <v>578</v>
      </c>
      <c r="S541" s="19" t="s">
        <v>2330</v>
      </c>
      <c r="T541" t="s">
        <v>169</v>
      </c>
      <c r="U541" s="22">
        <v>0</v>
      </c>
      <c r="V541" s="22">
        <v>0</v>
      </c>
      <c r="W541" s="22">
        <v>285.2</v>
      </c>
      <c r="X541" s="22">
        <v>0</v>
      </c>
      <c r="Y541" s="22">
        <v>72.44</v>
      </c>
      <c r="Z541" s="22">
        <v>0</v>
      </c>
      <c r="AA541" s="22">
        <v>0</v>
      </c>
      <c r="AB541" s="22">
        <v>0</v>
      </c>
      <c r="AC541" s="22">
        <v>0</v>
      </c>
      <c r="AD541" s="22">
        <v>0</v>
      </c>
      <c r="AE541" s="22">
        <v>357.64</v>
      </c>
      <c r="AF541" s="22">
        <f t="shared" si="8"/>
        <v>357.64</v>
      </c>
      <c r="AG541" s="22">
        <v>0</v>
      </c>
      <c r="AH541" s="22">
        <v>357.64</v>
      </c>
      <c r="AI541" t="s">
        <v>562</v>
      </c>
      <c r="AJ541" t="s">
        <v>1306</v>
      </c>
    </row>
    <row r="542" spans="1:36" ht="43.5" outlineLevel="2" x14ac:dyDescent="0.35">
      <c r="A542" s="19" t="s">
        <v>551</v>
      </c>
      <c r="B542" s="19" t="s">
        <v>697</v>
      </c>
      <c r="C542" s="19" t="s">
        <v>698</v>
      </c>
      <c r="D542" s="19">
        <v>2016</v>
      </c>
      <c r="E542" s="19" t="s">
        <v>1776</v>
      </c>
      <c r="F542" s="19">
        <v>80090249</v>
      </c>
      <c r="G542" s="19" t="s">
        <v>2331</v>
      </c>
      <c r="H542" s="19" t="s">
        <v>2332</v>
      </c>
      <c r="I542" s="19" t="s">
        <v>31</v>
      </c>
      <c r="J542" s="20">
        <v>1</v>
      </c>
      <c r="K542" s="21">
        <v>42689</v>
      </c>
      <c r="L542" s="21">
        <v>42691</v>
      </c>
      <c r="M542" s="21">
        <v>42780</v>
      </c>
      <c r="N542" s="24" t="s">
        <v>2448</v>
      </c>
      <c r="O542" s="19" t="s">
        <v>557</v>
      </c>
      <c r="P542" s="19" t="s">
        <v>568</v>
      </c>
      <c r="Q542" s="19" t="s">
        <v>590</v>
      </c>
      <c r="R542" s="19" t="s">
        <v>591</v>
      </c>
      <c r="S542" s="19" t="s">
        <v>2333</v>
      </c>
      <c r="T542" t="s">
        <v>69</v>
      </c>
      <c r="U542" s="22">
        <v>0</v>
      </c>
      <c r="V542" s="22">
        <v>0</v>
      </c>
      <c r="W542" s="22">
        <v>650.65</v>
      </c>
      <c r="X542" s="22">
        <v>0</v>
      </c>
      <c r="Y542" s="22">
        <v>49.8</v>
      </c>
      <c r="Z542" s="22">
        <v>0</v>
      </c>
      <c r="AA542" s="22">
        <v>0</v>
      </c>
      <c r="AB542" s="22">
        <v>0</v>
      </c>
      <c r="AC542" s="22">
        <v>0</v>
      </c>
      <c r="AD542" s="22">
        <v>0</v>
      </c>
      <c r="AE542" s="22">
        <v>700.45</v>
      </c>
      <c r="AF542" s="22">
        <f t="shared" si="8"/>
        <v>700.45</v>
      </c>
      <c r="AG542" s="22">
        <v>0</v>
      </c>
      <c r="AH542" s="22">
        <v>700.45</v>
      </c>
      <c r="AI542" t="s">
        <v>562</v>
      </c>
      <c r="AJ542" t="s">
        <v>1306</v>
      </c>
    </row>
    <row r="543" spans="1:36" ht="72.5" outlineLevel="2" x14ac:dyDescent="0.35">
      <c r="A543" s="19" t="s">
        <v>551</v>
      </c>
      <c r="B543" s="19" t="s">
        <v>996</v>
      </c>
      <c r="C543" s="19" t="s">
        <v>997</v>
      </c>
      <c r="D543" s="19">
        <v>2016</v>
      </c>
      <c r="E543" s="19" t="s">
        <v>1776</v>
      </c>
      <c r="F543" s="19">
        <v>80090253</v>
      </c>
      <c r="G543" s="19" t="s">
        <v>2334</v>
      </c>
      <c r="H543" s="19" t="s">
        <v>2335</v>
      </c>
      <c r="I543" s="19" t="s">
        <v>31</v>
      </c>
      <c r="J543" s="20">
        <v>1</v>
      </c>
      <c r="K543" s="21">
        <v>42685</v>
      </c>
      <c r="L543" s="21">
        <v>42688</v>
      </c>
      <c r="M543" s="21">
        <v>42723</v>
      </c>
      <c r="N543" s="24" t="s">
        <v>2448</v>
      </c>
      <c r="O543" s="19" t="s">
        <v>557</v>
      </c>
      <c r="P543" s="19" t="s">
        <v>609</v>
      </c>
      <c r="Q543" s="19" t="s">
        <v>597</v>
      </c>
      <c r="R543" s="19" t="s">
        <v>591</v>
      </c>
      <c r="S543" s="19" t="s">
        <v>2336</v>
      </c>
      <c r="T543" t="s">
        <v>51</v>
      </c>
      <c r="U543" s="22">
        <v>0</v>
      </c>
      <c r="V543" s="22">
        <v>0</v>
      </c>
      <c r="W543" s="22">
        <v>339.61</v>
      </c>
      <c r="X543" s="22">
        <v>0</v>
      </c>
      <c r="Y543" s="22">
        <v>41.19</v>
      </c>
      <c r="Z543" s="22">
        <v>0</v>
      </c>
      <c r="AA543" s="22">
        <v>0</v>
      </c>
      <c r="AB543" s="22">
        <v>0</v>
      </c>
      <c r="AC543" s="22">
        <v>0</v>
      </c>
      <c r="AD543" s="22">
        <v>0</v>
      </c>
      <c r="AE543" s="22">
        <v>380.8</v>
      </c>
      <c r="AF543" s="22">
        <f t="shared" si="8"/>
        <v>380.8</v>
      </c>
      <c r="AG543" s="22">
        <v>0</v>
      </c>
      <c r="AH543" s="22">
        <v>380.8</v>
      </c>
      <c r="AI543" t="s">
        <v>562</v>
      </c>
      <c r="AJ543" t="s">
        <v>1306</v>
      </c>
    </row>
    <row r="544" spans="1:36" ht="43.5" outlineLevel="2" x14ac:dyDescent="0.35">
      <c r="A544" s="19" t="s">
        <v>551</v>
      </c>
      <c r="B544" s="19" t="s">
        <v>636</v>
      </c>
      <c r="C544" s="19" t="s">
        <v>594</v>
      </c>
      <c r="D544" s="19">
        <v>2016</v>
      </c>
      <c r="E544" s="19" t="s">
        <v>1776</v>
      </c>
      <c r="F544" s="19">
        <v>80090260</v>
      </c>
      <c r="G544" s="19" t="s">
        <v>2337</v>
      </c>
      <c r="H544" s="19" t="s">
        <v>2338</v>
      </c>
      <c r="I544" s="19" t="s">
        <v>31</v>
      </c>
      <c r="J544" s="20">
        <v>1</v>
      </c>
      <c r="K544" s="21">
        <v>42679</v>
      </c>
      <c r="L544" s="21">
        <v>42717</v>
      </c>
      <c r="M544" s="21">
        <v>42724</v>
      </c>
      <c r="N544" s="24" t="s">
        <v>2448</v>
      </c>
      <c r="O544" s="19" t="s">
        <v>557</v>
      </c>
      <c r="P544" s="19" t="s">
        <v>609</v>
      </c>
      <c r="Q544" s="19" t="s">
        <v>655</v>
      </c>
      <c r="R544" s="19" t="s">
        <v>578</v>
      </c>
      <c r="S544" s="19" t="s">
        <v>2339</v>
      </c>
      <c r="T544" t="s">
        <v>33</v>
      </c>
      <c r="U544" s="22">
        <v>0</v>
      </c>
      <c r="V544" s="22">
        <v>0</v>
      </c>
      <c r="W544" s="22">
        <v>746.55</v>
      </c>
      <c r="X544" s="22">
        <v>0</v>
      </c>
      <c r="Y544" s="22">
        <v>9.5</v>
      </c>
      <c r="Z544" s="22">
        <v>0</v>
      </c>
      <c r="AA544" s="22">
        <v>0</v>
      </c>
      <c r="AB544" s="22">
        <v>0</v>
      </c>
      <c r="AC544" s="22">
        <v>0</v>
      </c>
      <c r="AD544" s="22">
        <v>0</v>
      </c>
      <c r="AE544" s="22">
        <v>756.05</v>
      </c>
      <c r="AF544" s="22">
        <f t="shared" si="8"/>
        <v>756.05</v>
      </c>
      <c r="AG544" s="22">
        <v>0</v>
      </c>
      <c r="AH544" s="22">
        <v>756.05</v>
      </c>
      <c r="AI544" t="s">
        <v>562</v>
      </c>
      <c r="AJ544" t="s">
        <v>1306</v>
      </c>
    </row>
    <row r="545" spans="1:36" ht="58" outlineLevel="2" x14ac:dyDescent="0.35">
      <c r="A545" s="19" t="s">
        <v>551</v>
      </c>
      <c r="B545" s="19" t="s">
        <v>636</v>
      </c>
      <c r="C545" s="19" t="s">
        <v>594</v>
      </c>
      <c r="D545" s="19">
        <v>2016</v>
      </c>
      <c r="E545" s="19" t="s">
        <v>1776</v>
      </c>
      <c r="F545" s="19">
        <v>80090270</v>
      </c>
      <c r="G545" s="19" t="s">
        <v>2340</v>
      </c>
      <c r="H545" s="19" t="s">
        <v>2341</v>
      </c>
      <c r="I545" s="19" t="s">
        <v>31</v>
      </c>
      <c r="J545" s="20">
        <v>1</v>
      </c>
      <c r="K545" s="21">
        <v>42675</v>
      </c>
      <c r="L545" s="21">
        <v>42678</v>
      </c>
      <c r="M545" s="21">
        <v>42741</v>
      </c>
      <c r="N545" s="24" t="s">
        <v>2448</v>
      </c>
      <c r="O545" s="19" t="s">
        <v>557</v>
      </c>
      <c r="P545" s="19" t="s">
        <v>665</v>
      </c>
      <c r="Q545" s="19" t="s">
        <v>590</v>
      </c>
      <c r="R545" s="19" t="s">
        <v>708</v>
      </c>
      <c r="S545" s="19" t="s">
        <v>2342</v>
      </c>
      <c r="T545" t="s">
        <v>2343</v>
      </c>
      <c r="U545" s="22">
        <v>0</v>
      </c>
      <c r="V545" s="22">
        <v>0</v>
      </c>
      <c r="W545" s="22">
        <v>913.7</v>
      </c>
      <c r="X545" s="22">
        <v>0</v>
      </c>
      <c r="Y545" s="22">
        <v>9.5</v>
      </c>
      <c r="Z545" s="22">
        <v>0</v>
      </c>
      <c r="AA545" s="22">
        <v>0</v>
      </c>
      <c r="AB545" s="22">
        <v>0</v>
      </c>
      <c r="AC545" s="22">
        <v>0</v>
      </c>
      <c r="AD545" s="22">
        <v>0</v>
      </c>
      <c r="AE545" s="22">
        <v>923.2</v>
      </c>
      <c r="AF545" s="22">
        <f t="shared" si="8"/>
        <v>923.2</v>
      </c>
      <c r="AG545" s="22">
        <v>0</v>
      </c>
      <c r="AH545" s="22">
        <v>923.2</v>
      </c>
      <c r="AI545" t="s">
        <v>562</v>
      </c>
      <c r="AJ545" t="s">
        <v>1306</v>
      </c>
    </row>
    <row r="546" spans="1:36" ht="72.5" outlineLevel="2" x14ac:dyDescent="0.35">
      <c r="A546" s="19" t="s">
        <v>551</v>
      </c>
      <c r="B546" s="19" t="s">
        <v>974</v>
      </c>
      <c r="C546" s="19" t="s">
        <v>946</v>
      </c>
      <c r="D546" s="19">
        <v>2016</v>
      </c>
      <c r="E546" s="19" t="s">
        <v>1776</v>
      </c>
      <c r="F546" s="19">
        <v>80090254</v>
      </c>
      <c r="G546" s="19" t="s">
        <v>2344</v>
      </c>
      <c r="H546" s="19" t="s">
        <v>2345</v>
      </c>
      <c r="I546" s="19" t="s">
        <v>31</v>
      </c>
      <c r="J546" s="20">
        <v>1</v>
      </c>
      <c r="K546" s="21">
        <v>42671</v>
      </c>
      <c r="L546" s="21">
        <v>42671</v>
      </c>
      <c r="M546" s="21">
        <v>42954</v>
      </c>
      <c r="N546" s="24" t="s">
        <v>2448</v>
      </c>
      <c r="O546" s="19" t="s">
        <v>557</v>
      </c>
      <c r="P546" s="19" t="s">
        <v>568</v>
      </c>
      <c r="Q546" s="19" t="s">
        <v>577</v>
      </c>
      <c r="R546" s="19" t="s">
        <v>616</v>
      </c>
      <c r="S546" s="19" t="s">
        <v>2346</v>
      </c>
      <c r="T546" t="s">
        <v>51</v>
      </c>
      <c r="U546" s="22">
        <v>0</v>
      </c>
      <c r="V546" s="22">
        <v>0</v>
      </c>
      <c r="W546" s="22">
        <v>390.68</v>
      </c>
      <c r="X546" s="22">
        <v>0</v>
      </c>
      <c r="Y546" s="22">
        <v>63.74</v>
      </c>
      <c r="Z546" s="22">
        <v>0</v>
      </c>
      <c r="AA546" s="22">
        <v>0</v>
      </c>
      <c r="AB546" s="22">
        <v>0</v>
      </c>
      <c r="AC546" s="22">
        <v>0</v>
      </c>
      <c r="AD546" s="22">
        <v>0</v>
      </c>
      <c r="AE546" s="22">
        <v>454.42</v>
      </c>
      <c r="AF546" s="22">
        <f t="shared" si="8"/>
        <v>454.42</v>
      </c>
      <c r="AG546" s="22">
        <v>0</v>
      </c>
      <c r="AH546" s="22">
        <v>454.42</v>
      </c>
      <c r="AI546" t="s">
        <v>562</v>
      </c>
    </row>
    <row r="547" spans="1:36" ht="87" outlineLevel="2" x14ac:dyDescent="0.35">
      <c r="A547" s="19" t="s">
        <v>551</v>
      </c>
      <c r="B547" s="19" t="s">
        <v>605</v>
      </c>
      <c r="C547" s="19" t="s">
        <v>606</v>
      </c>
      <c r="D547" s="19">
        <v>2016</v>
      </c>
      <c r="E547" s="19" t="s">
        <v>1776</v>
      </c>
      <c r="F547" s="19">
        <v>80090246</v>
      </c>
      <c r="G547" s="19" t="s">
        <v>2347</v>
      </c>
      <c r="H547" s="19" t="s">
        <v>2348</v>
      </c>
      <c r="I547" s="19" t="s">
        <v>31</v>
      </c>
      <c r="J547" s="20">
        <v>1</v>
      </c>
      <c r="K547" s="21">
        <v>42669</v>
      </c>
      <c r="L547" s="21">
        <v>42671</v>
      </c>
      <c r="M547" s="21">
        <v>43416</v>
      </c>
      <c r="N547" s="24" t="s">
        <v>2448</v>
      </c>
      <c r="O547" s="19" t="s">
        <v>557</v>
      </c>
      <c r="P547" s="19" t="s">
        <v>568</v>
      </c>
      <c r="Q547" s="19" t="s">
        <v>634</v>
      </c>
      <c r="R547" s="19" t="s">
        <v>578</v>
      </c>
      <c r="S547" s="19" t="s">
        <v>2349</v>
      </c>
      <c r="T547" t="s">
        <v>69</v>
      </c>
      <c r="U547" s="22">
        <v>0</v>
      </c>
      <c r="V547" s="22">
        <v>0</v>
      </c>
      <c r="W547" s="22">
        <v>770.75</v>
      </c>
      <c r="X547" s="22">
        <v>0</v>
      </c>
      <c r="Y547" s="22">
        <v>87.15</v>
      </c>
      <c r="Z547" s="22">
        <v>0</v>
      </c>
      <c r="AA547" s="22">
        <v>0</v>
      </c>
      <c r="AB547" s="22">
        <v>0</v>
      </c>
      <c r="AC547" s="22">
        <v>0</v>
      </c>
      <c r="AD547" s="22">
        <v>0</v>
      </c>
      <c r="AE547" s="22">
        <v>857.9</v>
      </c>
      <c r="AF547" s="22">
        <f t="shared" si="8"/>
        <v>857.9</v>
      </c>
      <c r="AG547" s="22">
        <v>0</v>
      </c>
      <c r="AH547" s="22">
        <v>857.9</v>
      </c>
      <c r="AI547" t="s">
        <v>562</v>
      </c>
      <c r="AJ547" t="s">
        <v>1306</v>
      </c>
    </row>
    <row r="548" spans="1:36" ht="58" outlineLevel="2" x14ac:dyDescent="0.35">
      <c r="A548" s="19" t="s">
        <v>551</v>
      </c>
      <c r="B548" s="19" t="s">
        <v>586</v>
      </c>
      <c r="C548" s="19" t="s">
        <v>587</v>
      </c>
      <c r="D548" s="19">
        <v>2016</v>
      </c>
      <c r="E548" s="19" t="s">
        <v>1776</v>
      </c>
      <c r="F548" s="19">
        <v>80090261</v>
      </c>
      <c r="G548" s="19" t="s">
        <v>2350</v>
      </c>
      <c r="H548" s="19" t="s">
        <v>2351</v>
      </c>
      <c r="I548" s="19" t="s">
        <v>31</v>
      </c>
      <c r="J548" s="20">
        <v>1</v>
      </c>
      <c r="K548" s="21">
        <v>42669</v>
      </c>
      <c r="L548" s="21">
        <v>42669</v>
      </c>
      <c r="M548" s="21">
        <v>43759</v>
      </c>
      <c r="N548" s="24" t="s">
        <v>2448</v>
      </c>
      <c r="O548" s="19" t="s">
        <v>557</v>
      </c>
      <c r="Q548" s="19" t="s">
        <v>655</v>
      </c>
      <c r="R548" s="19" t="s">
        <v>591</v>
      </c>
      <c r="S548" s="19" t="s">
        <v>2352</v>
      </c>
      <c r="T548" t="s">
        <v>45</v>
      </c>
      <c r="U548" s="22">
        <v>940.5</v>
      </c>
      <c r="V548" s="22">
        <v>0</v>
      </c>
      <c r="W548" s="22">
        <v>29108.07</v>
      </c>
      <c r="X548" s="22">
        <v>0</v>
      </c>
      <c r="Y548" s="22">
        <v>33452.589999999997</v>
      </c>
      <c r="Z548" s="22">
        <v>0</v>
      </c>
      <c r="AA548" s="22">
        <v>0</v>
      </c>
      <c r="AB548" s="22">
        <v>-335.25</v>
      </c>
      <c r="AC548" s="22">
        <v>0</v>
      </c>
      <c r="AD548" s="22">
        <v>0</v>
      </c>
      <c r="AE548" s="22">
        <v>63501.16</v>
      </c>
      <c r="AF548" s="22">
        <f t="shared" si="8"/>
        <v>63165.91</v>
      </c>
      <c r="AG548" s="22">
        <v>0</v>
      </c>
      <c r="AH548" s="22">
        <v>63165.91</v>
      </c>
      <c r="AI548" t="s">
        <v>562</v>
      </c>
      <c r="AJ548" t="s">
        <v>1306</v>
      </c>
    </row>
    <row r="549" spans="1:36" ht="43.5" outlineLevel="2" x14ac:dyDescent="0.35">
      <c r="A549" s="19" t="s">
        <v>551</v>
      </c>
      <c r="B549" s="19" t="s">
        <v>697</v>
      </c>
      <c r="C549" s="19" t="s">
        <v>698</v>
      </c>
      <c r="D549" s="19">
        <v>2016</v>
      </c>
      <c r="E549" s="19" t="s">
        <v>1776</v>
      </c>
      <c r="F549" s="19">
        <v>80090265</v>
      </c>
      <c r="G549" s="19" t="s">
        <v>2353</v>
      </c>
      <c r="H549" s="19" t="s">
        <v>2354</v>
      </c>
      <c r="I549" s="19" t="s">
        <v>31</v>
      </c>
      <c r="J549" s="20">
        <v>1</v>
      </c>
      <c r="K549" s="21">
        <v>42664</v>
      </c>
      <c r="L549" s="21">
        <v>42668</v>
      </c>
      <c r="M549" s="21">
        <v>42895</v>
      </c>
      <c r="N549" s="24" t="s">
        <v>2448</v>
      </c>
      <c r="O549" s="19" t="s">
        <v>557</v>
      </c>
      <c r="P549" s="19" t="s">
        <v>665</v>
      </c>
      <c r="Q549" s="19" t="s">
        <v>735</v>
      </c>
      <c r="R549" s="19" t="s">
        <v>570</v>
      </c>
      <c r="S549" s="19" t="s">
        <v>2355</v>
      </c>
      <c r="T549" t="s">
        <v>69</v>
      </c>
      <c r="U549" s="22">
        <v>0</v>
      </c>
      <c r="V549" s="22">
        <v>0</v>
      </c>
      <c r="W549" s="22">
        <v>3058.25</v>
      </c>
      <c r="X549" s="22">
        <v>0</v>
      </c>
      <c r="Y549" s="22">
        <v>465.32</v>
      </c>
      <c r="Z549" s="22">
        <v>0</v>
      </c>
      <c r="AA549" s="22">
        <v>0</v>
      </c>
      <c r="AB549" s="22">
        <v>-36.520000000000003</v>
      </c>
      <c r="AC549" s="22">
        <v>0</v>
      </c>
      <c r="AD549" s="22">
        <v>0</v>
      </c>
      <c r="AE549" s="22">
        <v>3523.57</v>
      </c>
      <c r="AF549" s="22">
        <f t="shared" si="8"/>
        <v>3487.05</v>
      </c>
      <c r="AG549" s="22">
        <v>0</v>
      </c>
      <c r="AH549" s="22">
        <v>3487.05</v>
      </c>
      <c r="AI549" t="s">
        <v>562</v>
      </c>
      <c r="AJ549" t="s">
        <v>1306</v>
      </c>
    </row>
    <row r="550" spans="1:36" ht="58" outlineLevel="2" x14ac:dyDescent="0.35">
      <c r="A550" s="19" t="s">
        <v>551</v>
      </c>
      <c r="B550" s="19" t="s">
        <v>697</v>
      </c>
      <c r="C550" s="19" t="s">
        <v>698</v>
      </c>
      <c r="D550" s="19">
        <v>2016</v>
      </c>
      <c r="E550" s="19" t="s">
        <v>1776</v>
      </c>
      <c r="F550" s="19">
        <v>80090310</v>
      </c>
      <c r="G550" s="19" t="s">
        <v>2356</v>
      </c>
      <c r="H550" s="19" t="s">
        <v>2357</v>
      </c>
      <c r="I550" s="19" t="s">
        <v>31</v>
      </c>
      <c r="J550" s="20">
        <v>1</v>
      </c>
      <c r="K550" s="21">
        <v>42664</v>
      </c>
      <c r="L550" s="21">
        <v>42668</v>
      </c>
      <c r="M550" s="21">
        <v>42730</v>
      </c>
      <c r="N550" s="24" t="s">
        <v>2448</v>
      </c>
      <c r="O550" s="19" t="s">
        <v>557</v>
      </c>
      <c r="P550" s="19" t="s">
        <v>568</v>
      </c>
      <c r="Q550" s="19" t="s">
        <v>655</v>
      </c>
      <c r="R550" s="19" t="s">
        <v>578</v>
      </c>
      <c r="S550" s="19" t="s">
        <v>2358</v>
      </c>
      <c r="T550" t="s">
        <v>69</v>
      </c>
      <c r="U550" s="22">
        <v>0</v>
      </c>
      <c r="V550" s="22">
        <v>0</v>
      </c>
      <c r="W550" s="22">
        <v>135.49</v>
      </c>
      <c r="X550" s="22">
        <v>0</v>
      </c>
      <c r="Y550" s="22">
        <v>12.45</v>
      </c>
      <c r="Z550" s="22">
        <v>0</v>
      </c>
      <c r="AA550" s="22">
        <v>0</v>
      </c>
      <c r="AB550" s="22">
        <v>0</v>
      </c>
      <c r="AC550" s="22">
        <v>0</v>
      </c>
      <c r="AD550" s="22">
        <v>0</v>
      </c>
      <c r="AE550" s="22">
        <v>147.94</v>
      </c>
      <c r="AF550" s="22">
        <f t="shared" si="8"/>
        <v>147.94</v>
      </c>
      <c r="AG550" s="22">
        <v>0</v>
      </c>
      <c r="AH550" s="22">
        <v>147.94</v>
      </c>
      <c r="AI550" t="s">
        <v>562</v>
      </c>
      <c r="AJ550" t="s">
        <v>1306</v>
      </c>
    </row>
    <row r="551" spans="1:36" ht="43.5" outlineLevel="2" x14ac:dyDescent="0.35">
      <c r="A551" s="19" t="s">
        <v>551</v>
      </c>
      <c r="B551" s="19" t="s">
        <v>636</v>
      </c>
      <c r="C551" s="19" t="s">
        <v>594</v>
      </c>
      <c r="D551" s="19">
        <v>2016</v>
      </c>
      <c r="E551" s="19" t="s">
        <v>1776</v>
      </c>
      <c r="F551" s="19">
        <v>80090245</v>
      </c>
      <c r="G551" s="19" t="s">
        <v>2359</v>
      </c>
      <c r="H551" s="19" t="s">
        <v>2360</v>
      </c>
      <c r="I551" s="19" t="s">
        <v>31</v>
      </c>
      <c r="J551" s="20">
        <v>1</v>
      </c>
      <c r="K551" s="21">
        <v>42662</v>
      </c>
      <c r="L551" s="21">
        <v>42663</v>
      </c>
      <c r="M551" s="21">
        <v>42908</v>
      </c>
      <c r="N551" s="24" t="s">
        <v>2448</v>
      </c>
      <c r="O551" s="19" t="s">
        <v>557</v>
      </c>
      <c r="P551" s="19" t="s">
        <v>568</v>
      </c>
      <c r="Q551" s="19" t="s">
        <v>655</v>
      </c>
      <c r="R551" s="19" t="s">
        <v>578</v>
      </c>
      <c r="S551" s="19" t="s">
        <v>2361</v>
      </c>
      <c r="T551" t="s">
        <v>33</v>
      </c>
      <c r="U551" s="22">
        <v>0</v>
      </c>
      <c r="V551" s="22">
        <v>0</v>
      </c>
      <c r="W551" s="22">
        <v>2639.84</v>
      </c>
      <c r="X551" s="22">
        <v>0</v>
      </c>
      <c r="Y551" s="22">
        <v>233.64</v>
      </c>
      <c r="Z551" s="22">
        <v>0</v>
      </c>
      <c r="AA551" s="22">
        <v>0</v>
      </c>
      <c r="AB551" s="22">
        <v>0</v>
      </c>
      <c r="AC551" s="22">
        <v>0</v>
      </c>
      <c r="AD551" s="22">
        <v>0</v>
      </c>
      <c r="AE551" s="22">
        <v>2873.48</v>
      </c>
      <c r="AF551" s="22">
        <f t="shared" si="8"/>
        <v>2873.48</v>
      </c>
      <c r="AG551" s="22">
        <v>0</v>
      </c>
      <c r="AH551" s="22">
        <v>2873.48</v>
      </c>
      <c r="AI551" t="s">
        <v>562</v>
      </c>
      <c r="AJ551" t="s">
        <v>1306</v>
      </c>
    </row>
    <row r="552" spans="1:36" ht="116" outlineLevel="2" x14ac:dyDescent="0.35">
      <c r="A552" s="19" t="s">
        <v>551</v>
      </c>
      <c r="B552" s="19" t="s">
        <v>1015</v>
      </c>
      <c r="C552" s="19" t="s">
        <v>1016</v>
      </c>
      <c r="D552" s="19">
        <v>2016</v>
      </c>
      <c r="E552" s="19" t="s">
        <v>1776</v>
      </c>
      <c r="F552" s="19">
        <v>80090262</v>
      </c>
      <c r="G552" s="19" t="s">
        <v>2362</v>
      </c>
      <c r="H552" s="19" t="s">
        <v>2363</v>
      </c>
      <c r="I552" s="19" t="s">
        <v>31</v>
      </c>
      <c r="J552" s="20">
        <v>1</v>
      </c>
      <c r="K552" s="21">
        <v>42661</v>
      </c>
      <c r="L552" s="21">
        <v>42676</v>
      </c>
      <c r="M552" s="21">
        <v>42768</v>
      </c>
      <c r="N552" s="24" t="s">
        <v>2448</v>
      </c>
      <c r="O552" s="19" t="s">
        <v>557</v>
      </c>
      <c r="P552" s="19" t="s">
        <v>609</v>
      </c>
      <c r="Q552" s="19" t="s">
        <v>735</v>
      </c>
      <c r="R552" s="19" t="s">
        <v>591</v>
      </c>
      <c r="S552" s="19" t="s">
        <v>2364</v>
      </c>
      <c r="T552" t="s">
        <v>1021</v>
      </c>
      <c r="U552" s="22">
        <v>0</v>
      </c>
      <c r="V552" s="22">
        <v>0</v>
      </c>
      <c r="W552" s="22">
        <v>330.82</v>
      </c>
      <c r="X552" s="22">
        <v>0</v>
      </c>
      <c r="Y552" s="22">
        <v>50.86</v>
      </c>
      <c r="Z552" s="22">
        <v>0</v>
      </c>
      <c r="AA552" s="22">
        <v>0</v>
      </c>
      <c r="AB552" s="22">
        <v>0</v>
      </c>
      <c r="AC552" s="22">
        <v>0</v>
      </c>
      <c r="AD552" s="22">
        <v>0</v>
      </c>
      <c r="AE552" s="22">
        <v>381.68</v>
      </c>
      <c r="AF552" s="22">
        <f t="shared" si="8"/>
        <v>381.68</v>
      </c>
      <c r="AG552" s="22">
        <v>0</v>
      </c>
      <c r="AH552" s="22">
        <v>381.68</v>
      </c>
      <c r="AI552" t="s">
        <v>562</v>
      </c>
      <c r="AJ552" t="s">
        <v>1306</v>
      </c>
    </row>
    <row r="553" spans="1:36" ht="58" outlineLevel="2" x14ac:dyDescent="0.35">
      <c r="A553" s="19" t="s">
        <v>551</v>
      </c>
      <c r="B553" s="19" t="s">
        <v>1384</v>
      </c>
      <c r="C553" s="19" t="s">
        <v>1385</v>
      </c>
      <c r="D553" s="19">
        <v>2016</v>
      </c>
      <c r="E553" s="19" t="s">
        <v>1776</v>
      </c>
      <c r="F553" s="19">
        <v>80090307</v>
      </c>
      <c r="G553" s="19" t="s">
        <v>2365</v>
      </c>
      <c r="H553" s="19" t="s">
        <v>2366</v>
      </c>
      <c r="I553" s="19" t="s">
        <v>31</v>
      </c>
      <c r="J553" s="20">
        <v>1</v>
      </c>
      <c r="K553" s="21">
        <v>42661</v>
      </c>
      <c r="L553" s="21">
        <v>42668</v>
      </c>
      <c r="M553" s="21">
        <v>42947</v>
      </c>
      <c r="N553" s="24" t="s">
        <v>2448</v>
      </c>
      <c r="O553" s="19" t="s">
        <v>557</v>
      </c>
      <c r="P553" s="19" t="s">
        <v>558</v>
      </c>
      <c r="Q553" s="19" t="s">
        <v>2367</v>
      </c>
      <c r="R553" s="19" t="s">
        <v>578</v>
      </c>
      <c r="S553" s="19" t="s">
        <v>2368</v>
      </c>
      <c r="T553" t="s">
        <v>1389</v>
      </c>
      <c r="U553" s="22">
        <v>0</v>
      </c>
      <c r="V553" s="22">
        <v>0</v>
      </c>
      <c r="W553" s="22">
        <v>90.28</v>
      </c>
      <c r="X553" s="22">
        <v>0</v>
      </c>
      <c r="Y553" s="22">
        <v>30</v>
      </c>
      <c r="Z553" s="22">
        <v>0</v>
      </c>
      <c r="AA553" s="22">
        <v>0</v>
      </c>
      <c r="AB553" s="22">
        <v>0</v>
      </c>
      <c r="AC553" s="22">
        <v>0</v>
      </c>
      <c r="AD553" s="22">
        <v>0</v>
      </c>
      <c r="AE553" s="22">
        <v>120.28</v>
      </c>
      <c r="AF553" s="22">
        <f t="shared" si="8"/>
        <v>120.28</v>
      </c>
      <c r="AG553" s="22">
        <v>0</v>
      </c>
      <c r="AH553" s="22">
        <v>120.28</v>
      </c>
      <c r="AI553" t="s">
        <v>562</v>
      </c>
      <c r="AJ553" t="s">
        <v>1306</v>
      </c>
    </row>
    <row r="554" spans="1:36" ht="87" outlineLevel="2" x14ac:dyDescent="0.35">
      <c r="A554" s="19" t="s">
        <v>551</v>
      </c>
      <c r="B554" s="19" t="s">
        <v>2055</v>
      </c>
      <c r="C554" s="19" t="s">
        <v>2056</v>
      </c>
      <c r="D554" s="19">
        <v>2016</v>
      </c>
      <c r="E554" s="19" t="s">
        <v>1776</v>
      </c>
      <c r="F554" s="19">
        <v>80090272</v>
      </c>
      <c r="G554" s="19" t="s">
        <v>2369</v>
      </c>
      <c r="H554" s="19" t="s">
        <v>2370</v>
      </c>
      <c r="I554" s="19" t="s">
        <v>31</v>
      </c>
      <c r="J554" s="20">
        <v>1</v>
      </c>
      <c r="K554" s="21">
        <v>42657</v>
      </c>
      <c r="L554" s="21">
        <v>42685</v>
      </c>
      <c r="M554" s="21">
        <v>42705</v>
      </c>
      <c r="N554" s="24" t="s">
        <v>2448</v>
      </c>
      <c r="O554" s="19" t="s">
        <v>557</v>
      </c>
      <c r="P554" s="19" t="s">
        <v>558</v>
      </c>
      <c r="Q554" s="19" t="s">
        <v>661</v>
      </c>
      <c r="R554" s="19" t="s">
        <v>1243</v>
      </c>
      <c r="S554" s="19" t="s">
        <v>2371</v>
      </c>
      <c r="T554" t="s">
        <v>85</v>
      </c>
      <c r="U554" s="22">
        <v>0</v>
      </c>
      <c r="V554" s="22">
        <v>0</v>
      </c>
      <c r="W554" s="22">
        <v>0</v>
      </c>
      <c r="X554" s="22">
        <v>0</v>
      </c>
      <c r="Y554" s="22">
        <v>61.02</v>
      </c>
      <c r="Z554" s="22">
        <v>0</v>
      </c>
      <c r="AA554" s="22">
        <v>0</v>
      </c>
      <c r="AB554" s="22">
        <v>0</v>
      </c>
      <c r="AC554" s="22">
        <v>0</v>
      </c>
      <c r="AD554" s="22">
        <v>0</v>
      </c>
      <c r="AE554" s="22">
        <v>61.02</v>
      </c>
      <c r="AF554" s="22">
        <f t="shared" si="8"/>
        <v>61.02</v>
      </c>
      <c r="AG554" s="22">
        <v>0</v>
      </c>
      <c r="AH554" s="22">
        <v>61.02</v>
      </c>
      <c r="AI554" t="s">
        <v>562</v>
      </c>
      <c r="AJ554" t="s">
        <v>1306</v>
      </c>
    </row>
    <row r="555" spans="1:36" ht="43.5" outlineLevel="2" x14ac:dyDescent="0.35">
      <c r="A555" s="19" t="s">
        <v>551</v>
      </c>
      <c r="B555" s="19" t="s">
        <v>636</v>
      </c>
      <c r="C555" s="19" t="s">
        <v>594</v>
      </c>
      <c r="D555" s="19">
        <v>2016</v>
      </c>
      <c r="E555" s="19" t="s">
        <v>1776</v>
      </c>
      <c r="F555" s="19">
        <v>80090290</v>
      </c>
      <c r="G555" s="19" t="s">
        <v>2372</v>
      </c>
      <c r="H555" s="19" t="s">
        <v>2373</v>
      </c>
      <c r="I555" s="19" t="s">
        <v>31</v>
      </c>
      <c r="J555" s="20">
        <v>1</v>
      </c>
      <c r="K555" s="21">
        <v>42655</v>
      </c>
      <c r="L555" s="21">
        <v>42660</v>
      </c>
      <c r="M555" s="21">
        <v>42698</v>
      </c>
      <c r="N555" s="24" t="s">
        <v>2448</v>
      </c>
      <c r="O555" s="19" t="s">
        <v>557</v>
      </c>
      <c r="P555" s="19" t="s">
        <v>609</v>
      </c>
      <c r="Q555" s="19" t="s">
        <v>634</v>
      </c>
      <c r="R555" s="19" t="s">
        <v>578</v>
      </c>
      <c r="S555" s="19" t="s">
        <v>2374</v>
      </c>
      <c r="T555" t="s">
        <v>33</v>
      </c>
      <c r="U555" s="22">
        <v>0</v>
      </c>
      <c r="V555" s="22">
        <v>0</v>
      </c>
      <c r="W555" s="22">
        <v>132.47999999999999</v>
      </c>
      <c r="X555" s="22">
        <v>0</v>
      </c>
      <c r="Y555" s="22">
        <v>23.7</v>
      </c>
      <c r="Z555" s="22">
        <v>0</v>
      </c>
      <c r="AA555" s="22">
        <v>0</v>
      </c>
      <c r="AB555" s="22">
        <v>0</v>
      </c>
      <c r="AC555" s="22">
        <v>0</v>
      </c>
      <c r="AD555" s="22">
        <v>0</v>
      </c>
      <c r="AE555" s="22">
        <v>156.18</v>
      </c>
      <c r="AF555" s="22">
        <f t="shared" si="8"/>
        <v>156.18</v>
      </c>
      <c r="AG555" s="22">
        <v>0</v>
      </c>
      <c r="AH555" s="22">
        <v>156.18</v>
      </c>
      <c r="AI555" t="s">
        <v>562</v>
      </c>
      <c r="AJ555" t="s">
        <v>1306</v>
      </c>
    </row>
    <row r="556" spans="1:36" ht="58" outlineLevel="2" x14ac:dyDescent="0.35">
      <c r="A556" s="19" t="s">
        <v>551</v>
      </c>
      <c r="B556" s="19" t="s">
        <v>996</v>
      </c>
      <c r="C556" s="19" t="s">
        <v>997</v>
      </c>
      <c r="D556" s="19">
        <v>2016</v>
      </c>
      <c r="E556" s="19" t="s">
        <v>1776</v>
      </c>
      <c r="F556" s="19">
        <v>80090283</v>
      </c>
      <c r="G556" s="19" t="s">
        <v>2375</v>
      </c>
      <c r="H556" s="19" t="s">
        <v>2376</v>
      </c>
      <c r="I556" s="19" t="s">
        <v>31</v>
      </c>
      <c r="J556" s="20">
        <v>1</v>
      </c>
      <c r="K556" s="21">
        <v>42653</v>
      </c>
      <c r="L556" s="21">
        <v>42653</v>
      </c>
      <c r="M556" s="21">
        <v>43068</v>
      </c>
      <c r="N556" s="24" t="s">
        <v>2448</v>
      </c>
      <c r="O556" s="19" t="s">
        <v>557</v>
      </c>
      <c r="P556" s="19" t="s">
        <v>609</v>
      </c>
      <c r="Q556" s="19" t="s">
        <v>2208</v>
      </c>
      <c r="R556" s="19" t="s">
        <v>591</v>
      </c>
      <c r="S556" s="19" t="s">
        <v>2377</v>
      </c>
      <c r="T556" t="s">
        <v>51</v>
      </c>
      <c r="U556" s="22">
        <v>855.25</v>
      </c>
      <c r="V556" s="22">
        <v>0</v>
      </c>
      <c r="W556" s="22">
        <v>756.59</v>
      </c>
      <c r="X556" s="22">
        <v>0</v>
      </c>
      <c r="Y556" s="22">
        <v>227.12</v>
      </c>
      <c r="Z556" s="22">
        <v>0</v>
      </c>
      <c r="AA556" s="22">
        <v>0</v>
      </c>
      <c r="AB556" s="22">
        <v>0</v>
      </c>
      <c r="AC556" s="22">
        <v>0</v>
      </c>
      <c r="AD556" s="22">
        <v>0</v>
      </c>
      <c r="AE556" s="22">
        <v>1838.96</v>
      </c>
      <c r="AF556" s="22">
        <f t="shared" si="8"/>
        <v>1838.96</v>
      </c>
      <c r="AG556" s="22">
        <v>0</v>
      </c>
      <c r="AH556" s="22">
        <v>1838.96</v>
      </c>
      <c r="AI556" t="s">
        <v>562</v>
      </c>
      <c r="AJ556" t="s">
        <v>1306</v>
      </c>
    </row>
    <row r="557" spans="1:36" ht="29" outlineLevel="2" x14ac:dyDescent="0.35">
      <c r="A557" s="19" t="s">
        <v>551</v>
      </c>
      <c r="B557" s="19" t="s">
        <v>658</v>
      </c>
      <c r="C557" s="19" t="s">
        <v>643</v>
      </c>
      <c r="D557" s="19">
        <v>2016</v>
      </c>
      <c r="E557" s="19" t="s">
        <v>1776</v>
      </c>
      <c r="F557" s="19">
        <v>80090276</v>
      </c>
      <c r="G557" s="19" t="s">
        <v>2378</v>
      </c>
      <c r="H557" s="19" t="s">
        <v>2379</v>
      </c>
      <c r="I557" s="19" t="s">
        <v>31</v>
      </c>
      <c r="J557" s="20">
        <v>1</v>
      </c>
      <c r="K557" s="21">
        <v>42648</v>
      </c>
      <c r="L557" s="21">
        <v>42654</v>
      </c>
      <c r="M557" s="21">
        <v>43076</v>
      </c>
      <c r="N557" s="24" t="s">
        <v>2448</v>
      </c>
      <c r="O557" s="19" t="s">
        <v>557</v>
      </c>
      <c r="P557" s="19" t="s">
        <v>665</v>
      </c>
      <c r="Q557" s="19" t="s">
        <v>569</v>
      </c>
      <c r="R557" s="19" t="s">
        <v>570</v>
      </c>
      <c r="S557" s="19" t="s">
        <v>2380</v>
      </c>
      <c r="T557" t="s">
        <v>62</v>
      </c>
      <c r="U557" s="22">
        <v>5202.1000000000004</v>
      </c>
      <c r="V557" s="22">
        <v>0</v>
      </c>
      <c r="W557" s="22">
        <v>9938.1</v>
      </c>
      <c r="X557" s="22">
        <v>0</v>
      </c>
      <c r="Y557" s="22">
        <v>411.11</v>
      </c>
      <c r="Z557" s="22">
        <v>0</v>
      </c>
      <c r="AA557" s="22">
        <v>0</v>
      </c>
      <c r="AB557" s="22">
        <v>-49.97</v>
      </c>
      <c r="AC557" s="22">
        <v>0</v>
      </c>
      <c r="AD557" s="22">
        <v>0</v>
      </c>
      <c r="AE557" s="22">
        <v>15551.31</v>
      </c>
      <c r="AF557" s="22">
        <f t="shared" si="8"/>
        <v>15501.34</v>
      </c>
      <c r="AG557" s="22">
        <v>0</v>
      </c>
      <c r="AH557" s="22">
        <v>15501.34</v>
      </c>
      <c r="AI557" t="s">
        <v>562</v>
      </c>
      <c r="AJ557" t="s">
        <v>1306</v>
      </c>
    </row>
    <row r="558" spans="1:36" ht="72.5" outlineLevel="2" x14ac:dyDescent="0.35">
      <c r="A558" s="19" t="s">
        <v>551</v>
      </c>
      <c r="B558" s="19" t="s">
        <v>680</v>
      </c>
      <c r="C558" s="19" t="s">
        <v>553</v>
      </c>
      <c r="D558" s="19">
        <v>2016</v>
      </c>
      <c r="E558" s="19" t="s">
        <v>1776</v>
      </c>
      <c r="F558" s="19">
        <v>80090293</v>
      </c>
      <c r="G558" s="19" t="s">
        <v>2381</v>
      </c>
      <c r="H558" s="19" t="s">
        <v>2382</v>
      </c>
      <c r="I558" s="19" t="s">
        <v>31</v>
      </c>
      <c r="J558" s="20">
        <v>1</v>
      </c>
      <c r="K558" s="21">
        <v>42646</v>
      </c>
      <c r="L558" s="21">
        <v>42661</v>
      </c>
      <c r="M558" s="21">
        <v>42712</v>
      </c>
      <c r="N558" s="24" t="s">
        <v>2448</v>
      </c>
      <c r="O558" s="19" t="s">
        <v>557</v>
      </c>
      <c r="P558" s="19" t="s">
        <v>609</v>
      </c>
      <c r="Q558" s="19" t="s">
        <v>762</v>
      </c>
      <c r="R558" s="19" t="s">
        <v>570</v>
      </c>
      <c r="S558" s="19" t="s">
        <v>2383</v>
      </c>
      <c r="T558" t="s">
        <v>45</v>
      </c>
      <c r="U558" s="22">
        <v>0</v>
      </c>
      <c r="V558" s="22">
        <v>0</v>
      </c>
      <c r="W558" s="22">
        <v>839.92</v>
      </c>
      <c r="X558" s="22">
        <v>0</v>
      </c>
      <c r="Y558" s="22">
        <v>56.8</v>
      </c>
      <c r="Z558" s="22">
        <v>0</v>
      </c>
      <c r="AA558" s="22">
        <v>0</v>
      </c>
      <c r="AB558" s="22">
        <v>0</v>
      </c>
      <c r="AC558" s="22">
        <v>0</v>
      </c>
      <c r="AD558" s="22">
        <v>0</v>
      </c>
      <c r="AE558" s="22">
        <v>896.72</v>
      </c>
      <c r="AF558" s="22">
        <f t="shared" si="8"/>
        <v>896.72</v>
      </c>
      <c r="AG558" s="22">
        <v>0</v>
      </c>
      <c r="AH558" s="22">
        <v>896.72</v>
      </c>
      <c r="AI558" t="s">
        <v>562</v>
      </c>
      <c r="AJ558" t="s">
        <v>1306</v>
      </c>
    </row>
    <row r="559" spans="1:36" ht="58" outlineLevel="2" x14ac:dyDescent="0.35">
      <c r="A559" s="19" t="s">
        <v>551</v>
      </c>
      <c r="B559" s="19" t="s">
        <v>996</v>
      </c>
      <c r="C559" s="19" t="s">
        <v>997</v>
      </c>
      <c r="D559" s="19">
        <v>2016</v>
      </c>
      <c r="E559" s="19" t="s">
        <v>1776</v>
      </c>
      <c r="F559" s="19">
        <v>80090243</v>
      </c>
      <c r="G559" s="19" t="s">
        <v>2384</v>
      </c>
      <c r="H559" s="19" t="s">
        <v>2385</v>
      </c>
      <c r="I559" s="19" t="s">
        <v>31</v>
      </c>
      <c r="J559" s="20">
        <v>1</v>
      </c>
      <c r="K559" s="21">
        <v>42641</v>
      </c>
      <c r="L559" s="21">
        <v>42643</v>
      </c>
      <c r="M559" s="21">
        <v>43320</v>
      </c>
      <c r="N559" s="24" t="s">
        <v>2448</v>
      </c>
      <c r="O559" s="19" t="s">
        <v>557</v>
      </c>
      <c r="P559" s="19" t="s">
        <v>665</v>
      </c>
      <c r="Q559" s="19" t="s">
        <v>569</v>
      </c>
      <c r="R559" s="19" t="s">
        <v>591</v>
      </c>
      <c r="S559" s="19" t="s">
        <v>2386</v>
      </c>
      <c r="T559" t="s">
        <v>51</v>
      </c>
      <c r="U559" s="22">
        <v>1598.68</v>
      </c>
      <c r="V559" s="22">
        <v>0</v>
      </c>
      <c r="W559" s="22">
        <v>2236.4299999999998</v>
      </c>
      <c r="X559" s="22">
        <v>0</v>
      </c>
      <c r="Y559" s="22">
        <v>315.37</v>
      </c>
      <c r="Z559" s="22">
        <v>0</v>
      </c>
      <c r="AA559" s="22">
        <v>0</v>
      </c>
      <c r="AB559" s="22">
        <v>-426.96</v>
      </c>
      <c r="AC559" s="22">
        <v>0</v>
      </c>
      <c r="AD559" s="22">
        <v>0</v>
      </c>
      <c r="AE559" s="22">
        <v>4150.4799999999996</v>
      </c>
      <c r="AF559" s="22">
        <f t="shared" si="8"/>
        <v>3723.5199999999995</v>
      </c>
      <c r="AG559" s="22">
        <v>0</v>
      </c>
      <c r="AH559" s="22">
        <v>3723.52</v>
      </c>
      <c r="AI559" t="s">
        <v>562</v>
      </c>
      <c r="AJ559" t="s">
        <v>1306</v>
      </c>
    </row>
    <row r="560" spans="1:36" ht="43.5" outlineLevel="2" x14ac:dyDescent="0.35">
      <c r="A560" s="19" t="s">
        <v>551</v>
      </c>
      <c r="B560" s="19" t="s">
        <v>1015</v>
      </c>
      <c r="C560" s="19" t="s">
        <v>1016</v>
      </c>
      <c r="D560" s="19">
        <v>2016</v>
      </c>
      <c r="E560" s="19" t="s">
        <v>1776</v>
      </c>
      <c r="F560" s="19">
        <v>80090330</v>
      </c>
      <c r="G560" s="19" t="s">
        <v>2387</v>
      </c>
      <c r="H560" s="19" t="s">
        <v>2388</v>
      </c>
      <c r="I560" s="19" t="s">
        <v>31</v>
      </c>
      <c r="J560" s="20">
        <v>1</v>
      </c>
      <c r="K560" s="21">
        <v>42635</v>
      </c>
      <c r="L560" s="21">
        <v>42635</v>
      </c>
      <c r="M560" s="21">
        <v>42682</v>
      </c>
      <c r="N560" s="24" t="s">
        <v>2448</v>
      </c>
      <c r="O560" s="19" t="s">
        <v>557</v>
      </c>
      <c r="P560" s="19" t="s">
        <v>568</v>
      </c>
      <c r="Q560" s="19" t="s">
        <v>569</v>
      </c>
      <c r="R560" s="19" t="s">
        <v>570</v>
      </c>
      <c r="S560" s="19" t="s">
        <v>2389</v>
      </c>
      <c r="T560" t="s">
        <v>1021</v>
      </c>
      <c r="U560" s="22">
        <v>0</v>
      </c>
      <c r="V560" s="22">
        <v>0</v>
      </c>
      <c r="W560" s="22">
        <v>179.11</v>
      </c>
      <c r="X560" s="22">
        <v>0</v>
      </c>
      <c r="Y560" s="22">
        <v>10.52</v>
      </c>
      <c r="Z560" s="22">
        <v>0</v>
      </c>
      <c r="AA560" s="22">
        <v>0</v>
      </c>
      <c r="AB560" s="22">
        <v>0</v>
      </c>
      <c r="AC560" s="22">
        <v>0</v>
      </c>
      <c r="AD560" s="22">
        <v>0</v>
      </c>
      <c r="AE560" s="22">
        <v>189.63</v>
      </c>
      <c r="AF560" s="22">
        <f t="shared" si="8"/>
        <v>189.63</v>
      </c>
      <c r="AG560" s="22">
        <v>0</v>
      </c>
      <c r="AH560" s="22">
        <v>189.63</v>
      </c>
      <c r="AI560" t="s">
        <v>562</v>
      </c>
      <c r="AJ560" t="s">
        <v>1306</v>
      </c>
    </row>
    <row r="561" spans="1:36" ht="43.5" outlineLevel="2" x14ac:dyDescent="0.35">
      <c r="A561" s="19" t="s">
        <v>551</v>
      </c>
      <c r="B561" s="19" t="s">
        <v>605</v>
      </c>
      <c r="C561" s="19" t="s">
        <v>606</v>
      </c>
      <c r="D561" s="19">
        <v>2016</v>
      </c>
      <c r="E561" s="19" t="s">
        <v>1776</v>
      </c>
      <c r="F561" s="19">
        <v>80090321</v>
      </c>
      <c r="G561" s="19" t="s">
        <v>2390</v>
      </c>
      <c r="H561" s="19" t="s">
        <v>2391</v>
      </c>
      <c r="I561" s="19" t="s">
        <v>31</v>
      </c>
      <c r="J561" s="20">
        <v>1</v>
      </c>
      <c r="K561" s="21">
        <v>42627</v>
      </c>
      <c r="L561" s="21">
        <v>42627</v>
      </c>
      <c r="M561" s="21">
        <v>42678</v>
      </c>
      <c r="N561" s="24" t="s">
        <v>2448</v>
      </c>
      <c r="O561" s="19" t="s">
        <v>603</v>
      </c>
      <c r="P561" s="19" t="s">
        <v>568</v>
      </c>
      <c r="Q561" s="19" t="s">
        <v>655</v>
      </c>
      <c r="R561" s="19" t="s">
        <v>578</v>
      </c>
      <c r="S561" s="19" t="s">
        <v>2392</v>
      </c>
      <c r="T561" t="s">
        <v>69</v>
      </c>
      <c r="U561" s="22">
        <v>0</v>
      </c>
      <c r="V561" s="22">
        <v>0</v>
      </c>
      <c r="W561" s="22">
        <v>224.16</v>
      </c>
      <c r="X561" s="22">
        <v>0</v>
      </c>
      <c r="Y561" s="22">
        <v>24.9</v>
      </c>
      <c r="Z561" s="22">
        <v>0</v>
      </c>
      <c r="AA561" s="22">
        <v>0</v>
      </c>
      <c r="AB561" s="22">
        <v>0</v>
      </c>
      <c r="AC561" s="22">
        <v>0</v>
      </c>
      <c r="AD561" s="22">
        <v>0</v>
      </c>
      <c r="AE561" s="22">
        <v>249.06</v>
      </c>
      <c r="AF561" s="22">
        <f t="shared" si="8"/>
        <v>249.06</v>
      </c>
      <c r="AG561" s="22">
        <v>0</v>
      </c>
      <c r="AH561" s="22">
        <v>249.06</v>
      </c>
      <c r="AI561" t="s">
        <v>562</v>
      </c>
      <c r="AJ561" t="s">
        <v>1306</v>
      </c>
    </row>
    <row r="562" spans="1:36" ht="58" outlineLevel="2" x14ac:dyDescent="0.35">
      <c r="A562" s="19" t="s">
        <v>551</v>
      </c>
      <c r="B562" s="19" t="s">
        <v>996</v>
      </c>
      <c r="C562" s="19" t="s">
        <v>997</v>
      </c>
      <c r="D562" s="19">
        <v>2016</v>
      </c>
      <c r="E562" s="19" t="s">
        <v>1776</v>
      </c>
      <c r="F562" s="19">
        <v>80088200</v>
      </c>
      <c r="G562" s="19" t="s">
        <v>2393</v>
      </c>
      <c r="H562" s="19" t="s">
        <v>2394</v>
      </c>
      <c r="I562" s="19" t="s">
        <v>1435</v>
      </c>
      <c r="J562" s="20">
        <v>1</v>
      </c>
      <c r="K562" s="21">
        <v>42622</v>
      </c>
      <c r="L562" s="21">
        <v>42622</v>
      </c>
      <c r="N562" s="24" t="s">
        <v>2448</v>
      </c>
      <c r="O562" s="19" t="s">
        <v>557</v>
      </c>
      <c r="P562" s="19" t="s">
        <v>576</v>
      </c>
      <c r="Q562" s="19" t="s">
        <v>655</v>
      </c>
      <c r="R562" s="19" t="s">
        <v>560</v>
      </c>
      <c r="S562" s="19" t="s">
        <v>2395</v>
      </c>
      <c r="T562" t="s">
        <v>51</v>
      </c>
      <c r="U562" s="22">
        <v>160.01</v>
      </c>
      <c r="V562" s="22">
        <v>39.99</v>
      </c>
      <c r="W562" s="22">
        <v>118751.63</v>
      </c>
      <c r="X562" s="22">
        <v>21419.37</v>
      </c>
      <c r="Y562" s="22">
        <v>3039.61</v>
      </c>
      <c r="Z562" s="22">
        <v>12000.39</v>
      </c>
      <c r="AA562" s="22">
        <v>0</v>
      </c>
      <c r="AB562" s="22">
        <v>0</v>
      </c>
      <c r="AC562" s="22">
        <v>0</v>
      </c>
      <c r="AD562" s="22">
        <v>0</v>
      </c>
      <c r="AE562" s="22">
        <v>121951.25</v>
      </c>
      <c r="AF562" s="22">
        <f t="shared" si="8"/>
        <v>121951.25</v>
      </c>
      <c r="AG562" s="22">
        <v>33459.75</v>
      </c>
      <c r="AH562" s="22">
        <v>155411</v>
      </c>
      <c r="AI562" t="s">
        <v>562</v>
      </c>
      <c r="AJ562" t="s">
        <v>1306</v>
      </c>
    </row>
    <row r="563" spans="1:36" ht="72.5" outlineLevel="2" x14ac:dyDescent="0.35">
      <c r="A563" s="19" t="s">
        <v>551</v>
      </c>
      <c r="B563" s="19" t="s">
        <v>2081</v>
      </c>
      <c r="C563" s="19" t="s">
        <v>2082</v>
      </c>
      <c r="D563" s="19">
        <v>2016</v>
      </c>
      <c r="E563" s="19" t="s">
        <v>1776</v>
      </c>
      <c r="F563" s="19">
        <v>80090318</v>
      </c>
      <c r="G563" s="19" t="s">
        <v>2396</v>
      </c>
      <c r="H563" s="19" t="s">
        <v>2397</v>
      </c>
      <c r="I563" s="19" t="s">
        <v>31</v>
      </c>
      <c r="J563" s="20">
        <v>1</v>
      </c>
      <c r="K563" s="21">
        <v>42622</v>
      </c>
      <c r="L563" s="21">
        <v>42622</v>
      </c>
      <c r="M563" s="21">
        <v>42731</v>
      </c>
      <c r="N563" s="24" t="s">
        <v>2448</v>
      </c>
      <c r="O563" s="19" t="s">
        <v>557</v>
      </c>
      <c r="P563" s="19" t="s">
        <v>665</v>
      </c>
      <c r="Q563" s="19" t="s">
        <v>683</v>
      </c>
      <c r="R563" s="19" t="s">
        <v>616</v>
      </c>
      <c r="S563" s="19" t="s">
        <v>2398</v>
      </c>
      <c r="T563" t="s">
        <v>51</v>
      </c>
      <c r="U563" s="22">
        <v>0</v>
      </c>
      <c r="V563" s="22">
        <v>0</v>
      </c>
      <c r="W563" s="22">
        <v>0</v>
      </c>
      <c r="X563" s="22">
        <v>0</v>
      </c>
      <c r="Y563" s="22">
        <v>0</v>
      </c>
      <c r="Z563" s="22">
        <v>0</v>
      </c>
      <c r="AA563" s="22">
        <v>0</v>
      </c>
      <c r="AB563" s="22">
        <v>0</v>
      </c>
      <c r="AC563" s="22">
        <v>0</v>
      </c>
      <c r="AD563" s="22">
        <v>0</v>
      </c>
      <c r="AE563" s="22">
        <v>0</v>
      </c>
      <c r="AF563" s="22">
        <f t="shared" si="8"/>
        <v>0</v>
      </c>
      <c r="AG563" s="22">
        <v>0</v>
      </c>
      <c r="AH563" s="22">
        <v>0</v>
      </c>
      <c r="AI563" t="s">
        <v>562</v>
      </c>
      <c r="AJ563" t="s">
        <v>1306</v>
      </c>
    </row>
    <row r="564" spans="1:36" ht="101.5" outlineLevel="2" x14ac:dyDescent="0.35">
      <c r="A564" s="19" t="s">
        <v>551</v>
      </c>
      <c r="B564" s="19" t="s">
        <v>2081</v>
      </c>
      <c r="C564" s="19" t="s">
        <v>2082</v>
      </c>
      <c r="D564" s="19">
        <v>2016</v>
      </c>
      <c r="E564" s="19" t="s">
        <v>1776</v>
      </c>
      <c r="F564" s="19">
        <v>80090237</v>
      </c>
      <c r="G564" s="19" t="s">
        <v>2399</v>
      </c>
      <c r="H564" s="19" t="s">
        <v>2400</v>
      </c>
      <c r="I564" s="19" t="s">
        <v>31</v>
      </c>
      <c r="J564" s="20">
        <v>1</v>
      </c>
      <c r="K564" s="21">
        <v>42615</v>
      </c>
      <c r="L564" s="21">
        <v>42622</v>
      </c>
      <c r="M564" s="21">
        <v>43620</v>
      </c>
      <c r="N564" s="24" t="s">
        <v>2448</v>
      </c>
      <c r="O564" s="19" t="s">
        <v>557</v>
      </c>
      <c r="P564" s="19" t="s">
        <v>568</v>
      </c>
      <c r="Q564" s="19" t="s">
        <v>584</v>
      </c>
      <c r="R564" s="19" t="s">
        <v>650</v>
      </c>
      <c r="S564" s="19" t="s">
        <v>2401</v>
      </c>
      <c r="T564" t="s">
        <v>51</v>
      </c>
      <c r="U564" s="22">
        <v>0</v>
      </c>
      <c r="V564" s="22">
        <v>0</v>
      </c>
      <c r="W564" s="22">
        <v>7637.62</v>
      </c>
      <c r="X564" s="22">
        <v>0</v>
      </c>
      <c r="Y564" s="22">
        <v>2768.27</v>
      </c>
      <c r="Z564" s="22">
        <v>0</v>
      </c>
      <c r="AA564" s="22">
        <v>0</v>
      </c>
      <c r="AB564" s="22">
        <v>-20.3</v>
      </c>
      <c r="AC564" s="22">
        <v>0</v>
      </c>
      <c r="AD564" s="22">
        <v>0</v>
      </c>
      <c r="AE564" s="22">
        <v>10405.89</v>
      </c>
      <c r="AF564" s="22">
        <f t="shared" si="8"/>
        <v>10385.59</v>
      </c>
      <c r="AG564" s="22">
        <v>0</v>
      </c>
      <c r="AH564" s="22">
        <v>10385.59</v>
      </c>
      <c r="AI564" t="s">
        <v>562</v>
      </c>
      <c r="AJ564" t="s">
        <v>1306</v>
      </c>
    </row>
    <row r="565" spans="1:36" ht="87" outlineLevel="2" x14ac:dyDescent="0.35">
      <c r="A565" s="19" t="s">
        <v>551</v>
      </c>
      <c r="B565" s="19" t="s">
        <v>2055</v>
      </c>
      <c r="C565" s="19" t="s">
        <v>2056</v>
      </c>
      <c r="D565" s="19">
        <v>2016</v>
      </c>
      <c r="E565" s="19" t="s">
        <v>1776</v>
      </c>
      <c r="F565" s="19">
        <v>80090274</v>
      </c>
      <c r="G565" s="19" t="s">
        <v>2402</v>
      </c>
      <c r="H565" s="19" t="s">
        <v>2403</v>
      </c>
      <c r="I565" s="19" t="s">
        <v>31</v>
      </c>
      <c r="J565" s="20">
        <v>1</v>
      </c>
      <c r="K565" s="21">
        <v>42614</v>
      </c>
      <c r="L565" s="21">
        <v>42615</v>
      </c>
      <c r="M565" s="21">
        <v>43129</v>
      </c>
      <c r="N565" s="24" t="s">
        <v>2448</v>
      </c>
      <c r="O565" s="19" t="s">
        <v>557</v>
      </c>
      <c r="P565" s="19" t="s">
        <v>568</v>
      </c>
      <c r="Q565" s="19" t="s">
        <v>577</v>
      </c>
      <c r="R565" s="19" t="s">
        <v>578</v>
      </c>
      <c r="S565" s="19" t="s">
        <v>2404</v>
      </c>
      <c r="T565" t="s">
        <v>51</v>
      </c>
      <c r="U565" s="22">
        <v>0</v>
      </c>
      <c r="V565" s="22">
        <v>0</v>
      </c>
      <c r="W565" s="22">
        <v>639.91999999999996</v>
      </c>
      <c r="X565" s="22">
        <v>0</v>
      </c>
      <c r="Y565" s="22">
        <v>202.78</v>
      </c>
      <c r="Z565" s="22">
        <v>0</v>
      </c>
      <c r="AA565" s="22">
        <v>0</v>
      </c>
      <c r="AB565" s="22">
        <v>0</v>
      </c>
      <c r="AC565" s="22">
        <v>0</v>
      </c>
      <c r="AD565" s="22">
        <v>0</v>
      </c>
      <c r="AE565" s="22">
        <v>842.7</v>
      </c>
      <c r="AF565" s="22">
        <f t="shared" si="8"/>
        <v>842.7</v>
      </c>
      <c r="AG565" s="22">
        <v>0</v>
      </c>
      <c r="AH565" s="22">
        <v>842.7</v>
      </c>
      <c r="AI565" t="s">
        <v>562</v>
      </c>
      <c r="AJ565" t="s">
        <v>1306</v>
      </c>
    </row>
    <row r="566" spans="1:36" ht="43.5" outlineLevel="2" x14ac:dyDescent="0.35">
      <c r="A566" s="19" t="s">
        <v>551</v>
      </c>
      <c r="B566" s="19" t="s">
        <v>658</v>
      </c>
      <c r="C566" s="19" t="s">
        <v>643</v>
      </c>
      <c r="D566" s="19">
        <v>2016</v>
      </c>
      <c r="E566" s="19" t="s">
        <v>1776</v>
      </c>
      <c r="F566" s="19">
        <v>80090273</v>
      </c>
      <c r="G566" s="19" t="s">
        <v>2405</v>
      </c>
      <c r="H566" s="19" t="s">
        <v>2406</v>
      </c>
      <c r="I566" s="19" t="s">
        <v>31</v>
      </c>
      <c r="J566" s="20">
        <v>1</v>
      </c>
      <c r="K566" s="21">
        <v>42607</v>
      </c>
      <c r="L566" s="21">
        <v>42611</v>
      </c>
      <c r="M566" s="21">
        <v>42723</v>
      </c>
      <c r="N566" s="24" t="s">
        <v>2448</v>
      </c>
      <c r="O566" s="19" t="s">
        <v>557</v>
      </c>
      <c r="P566" s="19" t="s">
        <v>576</v>
      </c>
      <c r="Q566" s="19" t="s">
        <v>577</v>
      </c>
      <c r="R566" s="19" t="s">
        <v>2407</v>
      </c>
      <c r="S566" s="19" t="s">
        <v>2408</v>
      </c>
      <c r="T566" t="s">
        <v>62</v>
      </c>
      <c r="U566" s="22">
        <v>0</v>
      </c>
      <c r="V566" s="22">
        <v>0</v>
      </c>
      <c r="W566" s="22">
        <v>111</v>
      </c>
      <c r="X566" s="22">
        <v>0</v>
      </c>
      <c r="Y566" s="22">
        <v>0</v>
      </c>
      <c r="Z566" s="22">
        <v>0</v>
      </c>
      <c r="AA566" s="22">
        <v>0</v>
      </c>
      <c r="AB566" s="22">
        <v>0</v>
      </c>
      <c r="AC566" s="22">
        <v>0</v>
      </c>
      <c r="AD566" s="22">
        <v>0</v>
      </c>
      <c r="AE566" s="22">
        <v>111</v>
      </c>
      <c r="AF566" s="22">
        <f t="shared" si="8"/>
        <v>111</v>
      </c>
      <c r="AG566" s="22">
        <v>0</v>
      </c>
      <c r="AH566" s="22">
        <v>111</v>
      </c>
      <c r="AI566" t="s">
        <v>562</v>
      </c>
      <c r="AJ566" t="s">
        <v>1306</v>
      </c>
    </row>
    <row r="567" spans="1:36" ht="72.5" outlineLevel="2" x14ac:dyDescent="0.35">
      <c r="A567" s="19" t="s">
        <v>551</v>
      </c>
      <c r="B567" s="19" t="s">
        <v>586</v>
      </c>
      <c r="C567" s="19" t="s">
        <v>587</v>
      </c>
      <c r="D567" s="19">
        <v>2016</v>
      </c>
      <c r="E567" s="19" t="s">
        <v>1776</v>
      </c>
      <c r="F567" s="19">
        <v>80090301</v>
      </c>
      <c r="G567" s="19" t="s">
        <v>2409</v>
      </c>
      <c r="H567" s="19" t="s">
        <v>2410</v>
      </c>
      <c r="I567" s="19" t="s">
        <v>31</v>
      </c>
      <c r="J567" s="20">
        <v>1</v>
      </c>
      <c r="K567" s="21">
        <v>42606</v>
      </c>
      <c r="L567" s="21">
        <v>42668</v>
      </c>
      <c r="M567" s="21">
        <v>42677</v>
      </c>
      <c r="N567" s="24" t="s">
        <v>2448</v>
      </c>
      <c r="O567" s="19" t="s">
        <v>557</v>
      </c>
      <c r="P567" s="19" t="s">
        <v>609</v>
      </c>
      <c r="Q567" s="19" t="s">
        <v>590</v>
      </c>
      <c r="R567" s="19" t="s">
        <v>578</v>
      </c>
      <c r="S567" s="19" t="s">
        <v>2411</v>
      </c>
      <c r="T567" t="s">
        <v>45</v>
      </c>
      <c r="U567" s="22">
        <v>0</v>
      </c>
      <c r="V567" s="22">
        <v>0</v>
      </c>
      <c r="W567" s="22">
        <v>510.76</v>
      </c>
      <c r="X567" s="22">
        <v>0</v>
      </c>
      <c r="Y567" s="22">
        <v>40.92</v>
      </c>
      <c r="Z567" s="22">
        <v>0</v>
      </c>
      <c r="AA567" s="22">
        <v>0</v>
      </c>
      <c r="AB567" s="22">
        <v>0</v>
      </c>
      <c r="AC567" s="22">
        <v>0</v>
      </c>
      <c r="AD567" s="22">
        <v>0</v>
      </c>
      <c r="AE567" s="22">
        <v>551.67999999999995</v>
      </c>
      <c r="AF567" s="22">
        <f t="shared" si="8"/>
        <v>551.67999999999995</v>
      </c>
      <c r="AG567" s="22">
        <v>0</v>
      </c>
      <c r="AH567" s="22">
        <v>551.67999999999995</v>
      </c>
      <c r="AI567" t="s">
        <v>562</v>
      </c>
      <c r="AJ567" t="s">
        <v>1306</v>
      </c>
    </row>
    <row r="568" spans="1:36" ht="72.5" outlineLevel="2" x14ac:dyDescent="0.35">
      <c r="A568" s="19" t="s">
        <v>551</v>
      </c>
      <c r="B568" s="19" t="s">
        <v>586</v>
      </c>
      <c r="C568" s="19" t="s">
        <v>587</v>
      </c>
      <c r="D568" s="19">
        <v>2016</v>
      </c>
      <c r="E568" s="19" t="s">
        <v>1776</v>
      </c>
      <c r="F568" s="19">
        <v>80090250</v>
      </c>
      <c r="G568" s="19" t="s">
        <v>2412</v>
      </c>
      <c r="H568" s="19" t="s">
        <v>2413</v>
      </c>
      <c r="I568" s="19" t="s">
        <v>31</v>
      </c>
      <c r="J568" s="20">
        <v>1</v>
      </c>
      <c r="K568" s="21">
        <v>42599</v>
      </c>
      <c r="L568" s="21">
        <v>42605</v>
      </c>
      <c r="M568" s="21">
        <v>42752</v>
      </c>
      <c r="N568" s="24" t="s">
        <v>2448</v>
      </c>
      <c r="O568" s="19" t="s">
        <v>557</v>
      </c>
      <c r="P568" s="19" t="s">
        <v>609</v>
      </c>
      <c r="Q568" s="19" t="s">
        <v>655</v>
      </c>
      <c r="R568" s="19" t="s">
        <v>591</v>
      </c>
      <c r="S568" s="19" t="s">
        <v>2414</v>
      </c>
      <c r="T568" t="s">
        <v>45</v>
      </c>
      <c r="U568" s="22">
        <v>0</v>
      </c>
      <c r="V568" s="22">
        <v>0</v>
      </c>
      <c r="W568" s="22">
        <v>1831.62</v>
      </c>
      <c r="X568" s="22">
        <v>0</v>
      </c>
      <c r="Y568" s="22">
        <v>199.9</v>
      </c>
      <c r="Z568" s="22">
        <v>0</v>
      </c>
      <c r="AA568" s="22">
        <v>0</v>
      </c>
      <c r="AB568" s="22">
        <v>-57.12</v>
      </c>
      <c r="AC568" s="22">
        <v>0</v>
      </c>
      <c r="AD568" s="22">
        <v>0</v>
      </c>
      <c r="AE568" s="22">
        <v>2031.52</v>
      </c>
      <c r="AF568" s="22">
        <f t="shared" si="8"/>
        <v>1974.4</v>
      </c>
      <c r="AG568" s="22">
        <v>0</v>
      </c>
      <c r="AH568" s="22">
        <v>1974.4</v>
      </c>
      <c r="AI568" t="s">
        <v>562</v>
      </c>
      <c r="AJ568" t="s">
        <v>1306</v>
      </c>
    </row>
    <row r="569" spans="1:36" ht="43.5" outlineLevel="2" x14ac:dyDescent="0.35">
      <c r="A569" s="19" t="s">
        <v>551</v>
      </c>
      <c r="B569" s="19" t="s">
        <v>636</v>
      </c>
      <c r="C569" s="19" t="s">
        <v>594</v>
      </c>
      <c r="D569" s="19">
        <v>2016</v>
      </c>
      <c r="E569" s="19" t="s">
        <v>1776</v>
      </c>
      <c r="F569" s="19">
        <v>80090271</v>
      </c>
      <c r="G569" s="19" t="s">
        <v>2415</v>
      </c>
      <c r="H569" s="19" t="s">
        <v>2416</v>
      </c>
      <c r="I569" s="19" t="s">
        <v>31</v>
      </c>
      <c r="J569" s="20">
        <v>1</v>
      </c>
      <c r="K569" s="21">
        <v>42599</v>
      </c>
      <c r="L569" s="21">
        <v>42604</v>
      </c>
      <c r="M569" s="21">
        <v>42614</v>
      </c>
      <c r="N569" s="24" t="s">
        <v>2448</v>
      </c>
      <c r="O569" s="19" t="s">
        <v>557</v>
      </c>
      <c r="P569" s="19" t="s">
        <v>609</v>
      </c>
      <c r="Q569" s="19" t="s">
        <v>625</v>
      </c>
      <c r="R569" s="19" t="s">
        <v>578</v>
      </c>
      <c r="S569" s="19" t="s">
        <v>2417</v>
      </c>
      <c r="T569" t="s">
        <v>33</v>
      </c>
      <c r="U569" s="22">
        <v>0</v>
      </c>
      <c r="V569" s="22">
        <v>0</v>
      </c>
      <c r="W569" s="22">
        <v>149.29</v>
      </c>
      <c r="X569" s="22">
        <v>0</v>
      </c>
      <c r="Y569" s="22">
        <v>10.35</v>
      </c>
      <c r="Z569" s="22">
        <v>0</v>
      </c>
      <c r="AA569" s="22">
        <v>0</v>
      </c>
      <c r="AB569" s="22">
        <v>0</v>
      </c>
      <c r="AC569" s="22">
        <v>0</v>
      </c>
      <c r="AD569" s="22">
        <v>0</v>
      </c>
      <c r="AE569" s="22">
        <v>159.63999999999999</v>
      </c>
      <c r="AF569" s="22">
        <f t="shared" si="8"/>
        <v>159.63999999999999</v>
      </c>
      <c r="AG569" s="22">
        <v>0</v>
      </c>
      <c r="AH569" s="22">
        <v>159.63999999999999</v>
      </c>
      <c r="AI569" t="s">
        <v>562</v>
      </c>
      <c r="AJ569" t="s">
        <v>1306</v>
      </c>
    </row>
    <row r="570" spans="1:36" ht="87" outlineLevel="2" x14ac:dyDescent="0.35">
      <c r="A570" s="19" t="s">
        <v>551</v>
      </c>
      <c r="B570" s="19" t="s">
        <v>986</v>
      </c>
      <c r="C570" s="19" t="s">
        <v>553</v>
      </c>
      <c r="D570" s="19">
        <v>2016</v>
      </c>
      <c r="E570" s="19" t="s">
        <v>1776</v>
      </c>
      <c r="F570" s="19">
        <v>80090236</v>
      </c>
      <c r="G570" s="19" t="s">
        <v>2418</v>
      </c>
      <c r="H570" s="19" t="s">
        <v>2419</v>
      </c>
      <c r="I570" s="19" t="s">
        <v>31</v>
      </c>
      <c r="J570" s="20">
        <v>1</v>
      </c>
      <c r="K570" s="21">
        <v>42587</v>
      </c>
      <c r="L570" s="21">
        <v>42594</v>
      </c>
      <c r="M570" s="21">
        <v>42913</v>
      </c>
      <c r="N570" s="24" t="s">
        <v>2448</v>
      </c>
      <c r="O570" s="19" t="s">
        <v>557</v>
      </c>
      <c r="P570" s="19" t="s">
        <v>558</v>
      </c>
      <c r="Q570" s="19" t="s">
        <v>683</v>
      </c>
      <c r="R570" s="19" t="s">
        <v>570</v>
      </c>
      <c r="S570" s="19" t="s">
        <v>2420</v>
      </c>
      <c r="T570" t="s">
        <v>161</v>
      </c>
      <c r="U570" s="22">
        <v>0</v>
      </c>
      <c r="V570" s="22">
        <v>0</v>
      </c>
      <c r="W570" s="22">
        <v>2521.34</v>
      </c>
      <c r="X570" s="22">
        <v>0</v>
      </c>
      <c r="Y570" s="22">
        <v>148.76</v>
      </c>
      <c r="Z570" s="22">
        <v>0</v>
      </c>
      <c r="AA570" s="22">
        <v>0</v>
      </c>
      <c r="AB570" s="22">
        <v>0</v>
      </c>
      <c r="AC570" s="22">
        <v>0</v>
      </c>
      <c r="AD570" s="22">
        <v>0</v>
      </c>
      <c r="AE570" s="22">
        <v>2670.1</v>
      </c>
      <c r="AF570" s="22">
        <f t="shared" si="8"/>
        <v>2670.1</v>
      </c>
      <c r="AG570" s="22">
        <v>0</v>
      </c>
      <c r="AH570" s="22">
        <v>2670.1</v>
      </c>
      <c r="AI570" t="s">
        <v>562</v>
      </c>
      <c r="AJ570" t="s">
        <v>1306</v>
      </c>
    </row>
    <row r="571" spans="1:36" ht="58" outlineLevel="2" x14ac:dyDescent="0.35">
      <c r="A571" s="19" t="s">
        <v>551</v>
      </c>
      <c r="B571" s="19" t="s">
        <v>636</v>
      </c>
      <c r="C571" s="19" t="s">
        <v>594</v>
      </c>
      <c r="D571" s="19">
        <v>2016</v>
      </c>
      <c r="E571" s="19" t="s">
        <v>1776</v>
      </c>
      <c r="F571" s="19">
        <v>80090419</v>
      </c>
      <c r="G571" s="19" t="s">
        <v>2421</v>
      </c>
      <c r="H571" s="19" t="s">
        <v>2422</v>
      </c>
      <c r="I571" s="19" t="s">
        <v>31</v>
      </c>
      <c r="J571" s="20">
        <v>1</v>
      </c>
      <c r="K571" s="21">
        <v>42577</v>
      </c>
      <c r="L571" s="21">
        <v>42578</v>
      </c>
      <c r="M571" s="21">
        <v>42665</v>
      </c>
      <c r="N571" s="24" t="s">
        <v>2448</v>
      </c>
      <c r="O571" s="19" t="s">
        <v>557</v>
      </c>
      <c r="P571" s="19" t="s">
        <v>665</v>
      </c>
      <c r="Q571" s="19" t="s">
        <v>569</v>
      </c>
      <c r="R571" s="19" t="s">
        <v>570</v>
      </c>
      <c r="S571" s="19" t="s">
        <v>2423</v>
      </c>
      <c r="T571" t="s">
        <v>33</v>
      </c>
      <c r="U571" s="22">
        <v>0</v>
      </c>
      <c r="V571" s="22">
        <v>0</v>
      </c>
      <c r="W571" s="22">
        <v>784.04</v>
      </c>
      <c r="X571" s="22">
        <v>0</v>
      </c>
      <c r="Y571" s="22">
        <v>112.42</v>
      </c>
      <c r="Z571" s="22">
        <v>0</v>
      </c>
      <c r="AA571" s="22">
        <v>0</v>
      </c>
      <c r="AB571" s="22">
        <v>0</v>
      </c>
      <c r="AC571" s="22">
        <v>0</v>
      </c>
      <c r="AD571" s="22">
        <v>0</v>
      </c>
      <c r="AE571" s="22">
        <v>896.46</v>
      </c>
      <c r="AF571" s="22">
        <f t="shared" si="8"/>
        <v>896.46</v>
      </c>
      <c r="AG571" s="22">
        <v>0</v>
      </c>
      <c r="AH571" s="22">
        <v>896.46</v>
      </c>
      <c r="AI571" t="s">
        <v>562</v>
      </c>
      <c r="AJ571" t="s">
        <v>1306</v>
      </c>
    </row>
    <row r="572" spans="1:36" ht="58" outlineLevel="2" x14ac:dyDescent="0.35">
      <c r="A572" s="19" t="s">
        <v>551</v>
      </c>
      <c r="B572" s="19" t="s">
        <v>986</v>
      </c>
      <c r="C572" s="19" t="s">
        <v>553</v>
      </c>
      <c r="D572" s="19">
        <v>2016</v>
      </c>
      <c r="E572" s="19" t="s">
        <v>1776</v>
      </c>
      <c r="F572" s="19">
        <v>80090428</v>
      </c>
      <c r="G572" s="19" t="s">
        <v>2424</v>
      </c>
      <c r="H572" s="19" t="s">
        <v>2425</v>
      </c>
      <c r="I572" s="19" t="s">
        <v>31</v>
      </c>
      <c r="J572" s="20">
        <v>1</v>
      </c>
      <c r="K572" s="21">
        <v>42576</v>
      </c>
      <c r="L572" s="21">
        <v>42590</v>
      </c>
      <c r="M572" s="21">
        <v>42640</v>
      </c>
      <c r="N572" s="24" t="s">
        <v>2448</v>
      </c>
      <c r="O572" s="19" t="s">
        <v>557</v>
      </c>
      <c r="P572" s="19" t="s">
        <v>568</v>
      </c>
      <c r="Q572" s="19" t="s">
        <v>655</v>
      </c>
      <c r="R572" s="19" t="s">
        <v>578</v>
      </c>
      <c r="S572" s="19" t="s">
        <v>2426</v>
      </c>
      <c r="T572" t="s">
        <v>169</v>
      </c>
      <c r="U572" s="22">
        <v>0</v>
      </c>
      <c r="V572" s="22">
        <v>0</v>
      </c>
      <c r="W572" s="22">
        <v>0</v>
      </c>
      <c r="X572" s="22">
        <v>0</v>
      </c>
      <c r="Y572" s="22">
        <v>0</v>
      </c>
      <c r="Z572" s="22">
        <v>0</v>
      </c>
      <c r="AA572" s="22">
        <v>0</v>
      </c>
      <c r="AB572" s="22">
        <v>0</v>
      </c>
      <c r="AC572" s="22">
        <v>0</v>
      </c>
      <c r="AD572" s="22">
        <v>0</v>
      </c>
      <c r="AE572" s="22">
        <v>0</v>
      </c>
      <c r="AF572" s="22">
        <f t="shared" si="8"/>
        <v>0</v>
      </c>
      <c r="AG572" s="22">
        <v>0</v>
      </c>
      <c r="AH572" s="22">
        <v>0</v>
      </c>
      <c r="AI572" t="s">
        <v>562</v>
      </c>
      <c r="AJ572" t="s">
        <v>1306</v>
      </c>
    </row>
    <row r="573" spans="1:36" ht="29" outlineLevel="2" x14ac:dyDescent="0.35">
      <c r="A573" s="19" t="s">
        <v>551</v>
      </c>
      <c r="B573" s="19" t="s">
        <v>658</v>
      </c>
      <c r="C573" s="19" t="s">
        <v>643</v>
      </c>
      <c r="D573" s="19">
        <v>2016</v>
      </c>
      <c r="E573" s="19" t="s">
        <v>1776</v>
      </c>
      <c r="F573" s="19">
        <v>80090238</v>
      </c>
      <c r="G573" s="19" t="s">
        <v>2427</v>
      </c>
      <c r="H573" s="19" t="s">
        <v>2428</v>
      </c>
      <c r="I573" s="19" t="s">
        <v>31</v>
      </c>
      <c r="J573" s="20">
        <v>1</v>
      </c>
      <c r="K573" s="21">
        <v>42573</v>
      </c>
      <c r="L573" s="21">
        <v>42579</v>
      </c>
      <c r="M573" s="21">
        <v>43390</v>
      </c>
      <c r="N573" s="24" t="s">
        <v>2448</v>
      </c>
      <c r="O573" s="19" t="s">
        <v>557</v>
      </c>
      <c r="P573" s="19" t="s">
        <v>568</v>
      </c>
      <c r="Q573" s="19" t="s">
        <v>816</v>
      </c>
      <c r="R573" s="19" t="s">
        <v>570</v>
      </c>
      <c r="S573" s="19" t="s">
        <v>2429</v>
      </c>
      <c r="T573" t="s">
        <v>62</v>
      </c>
      <c r="U573" s="22">
        <v>81966.33</v>
      </c>
      <c r="V573" s="22">
        <v>0</v>
      </c>
      <c r="W573" s="22">
        <v>74396.62</v>
      </c>
      <c r="X573" s="22">
        <v>0</v>
      </c>
      <c r="Y573" s="22">
        <v>9766.73</v>
      </c>
      <c r="Z573" s="22">
        <v>0</v>
      </c>
      <c r="AA573" s="22">
        <v>-33.22</v>
      </c>
      <c r="AB573" s="22">
        <v>0</v>
      </c>
      <c r="AC573" s="22">
        <v>0</v>
      </c>
      <c r="AD573" s="22">
        <v>0</v>
      </c>
      <c r="AE573" s="22">
        <v>166129.68</v>
      </c>
      <c r="AF573" s="22">
        <f t="shared" si="8"/>
        <v>166096.46</v>
      </c>
      <c r="AG573" s="22">
        <v>0</v>
      </c>
      <c r="AH573" s="22">
        <v>166096.46</v>
      </c>
      <c r="AI573" t="s">
        <v>562</v>
      </c>
      <c r="AJ573" t="s">
        <v>1306</v>
      </c>
    </row>
    <row r="574" spans="1:36" ht="43.5" outlineLevel="2" x14ac:dyDescent="0.35">
      <c r="A574" s="19" t="s">
        <v>551</v>
      </c>
      <c r="B574" s="19" t="s">
        <v>2430</v>
      </c>
      <c r="C574" s="19" t="s">
        <v>2431</v>
      </c>
      <c r="D574" s="19">
        <v>2016</v>
      </c>
      <c r="E574" s="19" t="s">
        <v>1776</v>
      </c>
      <c r="F574" s="19">
        <v>80090412</v>
      </c>
      <c r="G574" s="19" t="s">
        <v>2432</v>
      </c>
      <c r="H574" s="19" t="s">
        <v>2433</v>
      </c>
      <c r="I574" s="19" t="s">
        <v>31</v>
      </c>
      <c r="J574" s="20">
        <v>1</v>
      </c>
      <c r="K574" s="21">
        <v>42572</v>
      </c>
      <c r="L574" s="21">
        <v>42927</v>
      </c>
      <c r="M574" s="21">
        <v>42976</v>
      </c>
      <c r="N574" s="24" t="s">
        <v>2448</v>
      </c>
      <c r="O574" s="19" t="s">
        <v>557</v>
      </c>
      <c r="P574" s="19" t="s">
        <v>568</v>
      </c>
      <c r="Q574" s="19" t="s">
        <v>625</v>
      </c>
      <c r="R574" s="19" t="s">
        <v>578</v>
      </c>
      <c r="S574" s="19" t="s">
        <v>2434</v>
      </c>
      <c r="T574" t="s">
        <v>139</v>
      </c>
      <c r="U574" s="22">
        <v>0</v>
      </c>
      <c r="V574" s="22">
        <v>0</v>
      </c>
      <c r="W574" s="22">
        <v>135</v>
      </c>
      <c r="X574" s="22">
        <v>0</v>
      </c>
      <c r="Y574" s="22">
        <v>182.54</v>
      </c>
      <c r="Z574" s="22">
        <v>0</v>
      </c>
      <c r="AA574" s="22">
        <v>0</v>
      </c>
      <c r="AB574" s="22">
        <v>0</v>
      </c>
      <c r="AC574" s="22">
        <v>0</v>
      </c>
      <c r="AD574" s="22">
        <v>0</v>
      </c>
      <c r="AE574" s="22">
        <v>317.54000000000002</v>
      </c>
      <c r="AF574" s="22">
        <f t="shared" si="8"/>
        <v>317.54000000000002</v>
      </c>
      <c r="AG574" s="22">
        <v>0</v>
      </c>
      <c r="AH574" s="22">
        <v>317.54000000000002</v>
      </c>
      <c r="AI574" t="s">
        <v>562</v>
      </c>
      <c r="AJ574" t="s">
        <v>1306</v>
      </c>
    </row>
    <row r="575" spans="1:36" ht="58" outlineLevel="2" x14ac:dyDescent="0.35">
      <c r="A575" s="19" t="s">
        <v>551</v>
      </c>
      <c r="B575" s="19" t="s">
        <v>1015</v>
      </c>
      <c r="C575" s="19" t="s">
        <v>1016</v>
      </c>
      <c r="D575" s="19">
        <v>2016</v>
      </c>
      <c r="E575" s="19" t="s">
        <v>1776</v>
      </c>
      <c r="F575" s="19">
        <v>80090322</v>
      </c>
      <c r="G575" s="19" t="s">
        <v>2435</v>
      </c>
      <c r="H575" s="19" t="s">
        <v>2436</v>
      </c>
      <c r="I575" s="19" t="s">
        <v>31</v>
      </c>
      <c r="J575" s="20">
        <v>1</v>
      </c>
      <c r="K575" s="21">
        <v>42571</v>
      </c>
      <c r="L575" s="21">
        <v>42635</v>
      </c>
      <c r="M575" s="21">
        <v>42777</v>
      </c>
      <c r="N575" s="24" t="s">
        <v>2448</v>
      </c>
      <c r="O575" s="19" t="s">
        <v>557</v>
      </c>
      <c r="P575" s="19" t="s">
        <v>609</v>
      </c>
      <c r="Q575" s="19" t="s">
        <v>1359</v>
      </c>
      <c r="R575" s="19" t="s">
        <v>591</v>
      </c>
      <c r="S575" s="19" t="s">
        <v>2437</v>
      </c>
      <c r="T575" t="s">
        <v>1021</v>
      </c>
      <c r="U575" s="22">
        <v>0</v>
      </c>
      <c r="V575" s="22">
        <v>0</v>
      </c>
      <c r="W575" s="22">
        <v>941.03</v>
      </c>
      <c r="X575" s="22">
        <v>0</v>
      </c>
      <c r="Y575" s="22">
        <v>103.84</v>
      </c>
      <c r="Z575" s="22">
        <v>0</v>
      </c>
      <c r="AA575" s="22">
        <v>0</v>
      </c>
      <c r="AB575" s="22">
        <v>0</v>
      </c>
      <c r="AC575" s="22">
        <v>0</v>
      </c>
      <c r="AD575" s="22">
        <v>0</v>
      </c>
      <c r="AE575" s="22">
        <v>1044.8699999999999</v>
      </c>
      <c r="AF575" s="22">
        <f t="shared" si="8"/>
        <v>1044.8699999999999</v>
      </c>
      <c r="AG575" s="22">
        <v>0</v>
      </c>
      <c r="AH575" s="22">
        <v>1044.8699999999999</v>
      </c>
      <c r="AI575" t="s">
        <v>562</v>
      </c>
      <c r="AJ575" t="s">
        <v>1306</v>
      </c>
    </row>
    <row r="576" spans="1:36" ht="43.5" outlineLevel="2" x14ac:dyDescent="0.35">
      <c r="A576" s="19" t="s">
        <v>551</v>
      </c>
      <c r="B576" s="19" t="s">
        <v>2081</v>
      </c>
      <c r="C576" s="19" t="s">
        <v>2082</v>
      </c>
      <c r="D576" s="19">
        <v>2016</v>
      </c>
      <c r="E576" s="19" t="s">
        <v>1776</v>
      </c>
      <c r="F576" s="19">
        <v>80091059</v>
      </c>
      <c r="G576" s="19" t="s">
        <v>2438</v>
      </c>
      <c r="H576" s="19" t="s">
        <v>2439</v>
      </c>
      <c r="I576" s="19" t="s">
        <v>31</v>
      </c>
      <c r="J576" s="20">
        <v>1</v>
      </c>
      <c r="K576" s="21">
        <v>42571</v>
      </c>
      <c r="L576" s="21">
        <v>42571</v>
      </c>
      <c r="M576" s="21">
        <v>43160</v>
      </c>
      <c r="N576" s="24" t="s">
        <v>2448</v>
      </c>
      <c r="O576" s="19" t="s">
        <v>557</v>
      </c>
      <c r="P576" s="19" t="s">
        <v>665</v>
      </c>
      <c r="Q576" s="19" t="s">
        <v>661</v>
      </c>
      <c r="R576" s="19" t="s">
        <v>591</v>
      </c>
      <c r="S576" s="19" t="s">
        <v>2440</v>
      </c>
      <c r="T576" t="s">
        <v>51</v>
      </c>
      <c r="U576" s="22">
        <v>0</v>
      </c>
      <c r="V576" s="22">
        <v>0</v>
      </c>
      <c r="W576" s="22">
        <v>2522.9</v>
      </c>
      <c r="X576" s="22">
        <v>0</v>
      </c>
      <c r="Y576" s="22">
        <v>970.75</v>
      </c>
      <c r="Z576" s="22">
        <v>0</v>
      </c>
      <c r="AA576" s="22">
        <v>-3037.96</v>
      </c>
      <c r="AB576" s="22">
        <v>0</v>
      </c>
      <c r="AC576" s="22">
        <v>0</v>
      </c>
      <c r="AD576" s="22">
        <v>0</v>
      </c>
      <c r="AE576" s="22">
        <v>3493.65</v>
      </c>
      <c r="AF576" s="22">
        <f t="shared" si="8"/>
        <v>455.69000000000005</v>
      </c>
      <c r="AG576" s="22">
        <v>0</v>
      </c>
      <c r="AH576" s="22">
        <v>455.69</v>
      </c>
      <c r="AI576" t="s">
        <v>562</v>
      </c>
      <c r="AJ576" t="s">
        <v>1306</v>
      </c>
    </row>
    <row r="577" spans="1:36" ht="87" outlineLevel="2" x14ac:dyDescent="0.35">
      <c r="A577" s="19" t="s">
        <v>551</v>
      </c>
      <c r="B577" s="19" t="s">
        <v>658</v>
      </c>
      <c r="C577" s="19" t="s">
        <v>643</v>
      </c>
      <c r="D577" s="19">
        <v>2016</v>
      </c>
      <c r="E577" s="19" t="s">
        <v>1776</v>
      </c>
      <c r="F577" s="19">
        <v>80091023</v>
      </c>
      <c r="G577" s="19" t="s">
        <v>2441</v>
      </c>
      <c r="H577" s="19" t="s">
        <v>2442</v>
      </c>
      <c r="I577" s="19" t="s">
        <v>31</v>
      </c>
      <c r="J577" s="20">
        <v>1</v>
      </c>
      <c r="K577" s="21">
        <v>42566</v>
      </c>
      <c r="L577" s="21">
        <v>42566</v>
      </c>
      <c r="M577" s="21">
        <v>42660</v>
      </c>
      <c r="N577" s="24" t="s">
        <v>2448</v>
      </c>
      <c r="O577" s="19" t="s">
        <v>557</v>
      </c>
      <c r="P577" s="19" t="s">
        <v>665</v>
      </c>
      <c r="Q577" s="19" t="s">
        <v>597</v>
      </c>
      <c r="R577" s="19" t="s">
        <v>570</v>
      </c>
      <c r="S577" s="19" t="s">
        <v>2443</v>
      </c>
      <c r="T577" t="s">
        <v>62</v>
      </c>
      <c r="U577" s="22">
        <v>0</v>
      </c>
      <c r="V577" s="22">
        <v>0</v>
      </c>
      <c r="W577" s="22">
        <v>1857.9</v>
      </c>
      <c r="X577" s="22">
        <v>0</v>
      </c>
      <c r="Y577" s="22">
        <v>223.9</v>
      </c>
      <c r="Z577" s="22">
        <v>0</v>
      </c>
      <c r="AA577" s="22">
        <v>-33.22</v>
      </c>
      <c r="AB577" s="22">
        <v>0</v>
      </c>
      <c r="AC577" s="22">
        <v>0</v>
      </c>
      <c r="AD577" s="22">
        <v>0</v>
      </c>
      <c r="AE577" s="22">
        <v>2081.8000000000002</v>
      </c>
      <c r="AF577" s="22">
        <f t="shared" si="8"/>
        <v>2048.5800000000004</v>
      </c>
      <c r="AG577" s="22">
        <v>0</v>
      </c>
      <c r="AH577" s="22">
        <v>2048.58</v>
      </c>
      <c r="AI577" t="s">
        <v>562</v>
      </c>
      <c r="AJ577" t="s">
        <v>1306</v>
      </c>
    </row>
    <row r="578" spans="1:36" ht="58" outlineLevel="2" x14ac:dyDescent="0.35">
      <c r="A578" s="19" t="s">
        <v>551</v>
      </c>
      <c r="B578" s="19" t="s">
        <v>636</v>
      </c>
      <c r="C578" s="19" t="s">
        <v>594</v>
      </c>
      <c r="D578" s="19">
        <v>2016</v>
      </c>
      <c r="E578" s="19" t="s">
        <v>1776</v>
      </c>
      <c r="F578" s="19">
        <v>80091021</v>
      </c>
      <c r="G578" s="19" t="s">
        <v>2444</v>
      </c>
      <c r="H578" s="19" t="s">
        <v>2445</v>
      </c>
      <c r="I578" s="19" t="s">
        <v>31</v>
      </c>
      <c r="J578" s="20">
        <v>1</v>
      </c>
      <c r="K578" s="21">
        <v>42555</v>
      </c>
      <c r="L578" s="21">
        <v>42564</v>
      </c>
      <c r="M578" s="21">
        <v>42608</v>
      </c>
      <c r="N578" s="24" t="s">
        <v>2448</v>
      </c>
      <c r="O578" s="19" t="s">
        <v>557</v>
      </c>
      <c r="P578" s="19" t="s">
        <v>665</v>
      </c>
      <c r="Q578" s="19" t="s">
        <v>735</v>
      </c>
      <c r="R578" s="19" t="s">
        <v>616</v>
      </c>
      <c r="S578" s="19" t="s">
        <v>2446</v>
      </c>
      <c r="T578" t="s">
        <v>33</v>
      </c>
      <c r="U578" s="22">
        <v>0</v>
      </c>
      <c r="V578" s="22">
        <v>0</v>
      </c>
      <c r="W578" s="22">
        <v>0</v>
      </c>
      <c r="X578" s="22">
        <v>0</v>
      </c>
      <c r="Y578" s="22">
        <v>0</v>
      </c>
      <c r="Z578" s="22">
        <v>0</v>
      </c>
      <c r="AA578" s="22">
        <v>0</v>
      </c>
      <c r="AB578" s="22">
        <v>0</v>
      </c>
      <c r="AC578" s="22">
        <v>0</v>
      </c>
      <c r="AD578" s="22">
        <v>0</v>
      </c>
      <c r="AE578" s="22">
        <v>0</v>
      </c>
      <c r="AF578" s="22">
        <f t="shared" si="8"/>
        <v>0</v>
      </c>
      <c r="AG578" s="22">
        <v>0</v>
      </c>
      <c r="AH578" s="22">
        <v>0</v>
      </c>
      <c r="AI578" t="s">
        <v>562</v>
      </c>
      <c r="AJ578" t="s">
        <v>2447</v>
      </c>
    </row>
    <row r="579" spans="1:36" ht="29" outlineLevel="2" x14ac:dyDescent="0.35">
      <c r="A579" s="19" t="s">
        <v>551</v>
      </c>
      <c r="D579" s="19">
        <v>2016</v>
      </c>
      <c r="E579" s="19" t="s">
        <v>2146</v>
      </c>
      <c r="F579" s="19" t="s">
        <v>835</v>
      </c>
      <c r="K579" s="21"/>
      <c r="L579" s="21"/>
      <c r="U579" s="22">
        <v>0</v>
      </c>
      <c r="V579" s="22">
        <v>0</v>
      </c>
      <c r="W579" s="22">
        <v>0</v>
      </c>
      <c r="X579" s="22">
        <v>0</v>
      </c>
      <c r="Y579" s="22">
        <v>0</v>
      </c>
      <c r="Z579" s="22">
        <v>0</v>
      </c>
      <c r="AA579" s="22">
        <v>0</v>
      </c>
      <c r="AB579" s="22">
        <v>0</v>
      </c>
      <c r="AC579" s="22">
        <v>0</v>
      </c>
      <c r="AD579" s="22">
        <v>0</v>
      </c>
      <c r="AE579" s="22">
        <v>0</v>
      </c>
      <c r="AF579" s="22">
        <f t="shared" ref="AF579" si="9">AE579+AA579+AB579+AC579</f>
        <v>0</v>
      </c>
      <c r="AG579" s="22">
        <v>0</v>
      </c>
      <c r="AH579" s="22">
        <v>0</v>
      </c>
      <c r="AI579" t="s">
        <v>562</v>
      </c>
    </row>
  </sheetData>
  <autoFilter ref="A1:AJ1" xr:uid="{C79AFFC3-A25B-47BA-93CB-5B7E202BFF90}"/>
  <pageMargins left="0.25" right="0.25" top="0.75" bottom="0.75" header="0.3" footer="0.3"/>
  <pageSetup paperSize="5" scale="41"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ADAE-6D1A-4D53-992C-8788C50B98EC}">
  <dimension ref="A2:AD263"/>
  <sheetViews>
    <sheetView tabSelected="1" workbookViewId="0">
      <selection activeCell="D2" sqref="A2:XFD2"/>
    </sheetView>
  </sheetViews>
  <sheetFormatPr defaultRowHeight="14.5" x14ac:dyDescent="0.35"/>
  <cols>
    <col min="6" max="6" width="9.453125" style="3" bestFit="1" customWidth="1"/>
  </cols>
  <sheetData>
    <row r="2" spans="1:30" x14ac:dyDescent="0.35">
      <c r="A2" t="s">
        <v>7</v>
      </c>
      <c r="B2" t="s">
        <v>8</v>
      </c>
      <c r="C2" t="s">
        <v>9</v>
      </c>
      <c r="D2" t="s">
        <v>10</v>
      </c>
      <c r="E2" t="s">
        <v>11</v>
      </c>
      <c r="F2" s="3" t="s">
        <v>511</v>
      </c>
      <c r="G2" t="s">
        <v>12</v>
      </c>
      <c r="H2" t="s">
        <v>13</v>
      </c>
      <c r="I2" t="s">
        <v>0</v>
      </c>
      <c r="J2" t="s">
        <v>1</v>
      </c>
      <c r="K2" t="s">
        <v>14</v>
      </c>
      <c r="L2" t="s">
        <v>2</v>
      </c>
      <c r="M2" t="s">
        <v>3</v>
      </c>
      <c r="N2" t="s">
        <v>4</v>
      </c>
      <c r="O2" t="s">
        <v>15</v>
      </c>
      <c r="P2" t="s">
        <v>5</v>
      </c>
      <c r="Q2" t="s">
        <v>6</v>
      </c>
      <c r="R2" t="s">
        <v>16</v>
      </c>
      <c r="S2" t="s">
        <v>17</v>
      </c>
      <c r="T2" t="s">
        <v>18</v>
      </c>
      <c r="U2" t="s">
        <v>19</v>
      </c>
      <c r="V2" t="s">
        <v>20</v>
      </c>
      <c r="W2" t="s">
        <v>21</v>
      </c>
      <c r="X2" t="s">
        <v>22</v>
      </c>
      <c r="Y2" t="s">
        <v>23</v>
      </c>
      <c r="Z2" t="s">
        <v>24</v>
      </c>
      <c r="AA2" t="s">
        <v>25</v>
      </c>
      <c r="AB2" t="s">
        <v>26</v>
      </c>
      <c r="AC2" t="s">
        <v>27</v>
      </c>
      <c r="AD2" t="s">
        <v>28</v>
      </c>
    </row>
    <row r="3" spans="1:30" x14ac:dyDescent="0.35">
      <c r="A3" t="s">
        <v>38</v>
      </c>
      <c r="B3" t="s">
        <v>379</v>
      </c>
      <c r="C3" t="s">
        <v>31</v>
      </c>
      <c r="D3" s="23" t="s">
        <v>2448</v>
      </c>
      <c r="E3" s="1">
        <v>44744</v>
      </c>
      <c r="F3" s="3">
        <v>2022</v>
      </c>
      <c r="G3" s="1">
        <v>44761</v>
      </c>
      <c r="H3" t="s">
        <v>380</v>
      </c>
      <c r="I3" t="s">
        <v>51</v>
      </c>
      <c r="J3" t="s">
        <v>381</v>
      </c>
      <c r="K3" t="s">
        <v>35</v>
      </c>
      <c r="L3" s="1">
        <v>44690</v>
      </c>
      <c r="M3" t="s">
        <v>35</v>
      </c>
      <c r="O3">
        <v>0</v>
      </c>
      <c r="P3" t="s">
        <v>47</v>
      </c>
      <c r="Q3" t="s">
        <v>48</v>
      </c>
      <c r="R3" s="2">
        <v>504.67</v>
      </c>
      <c r="S3" s="2">
        <v>0</v>
      </c>
      <c r="T3" s="2">
        <v>33.729999999999997</v>
      </c>
      <c r="U3" s="2">
        <v>538.4</v>
      </c>
      <c r="V3" s="2">
        <v>504.67</v>
      </c>
      <c r="W3" s="2">
        <v>0</v>
      </c>
      <c r="X3" s="2">
        <v>33.729999999999997</v>
      </c>
      <c r="Y3" s="2">
        <v>538.4</v>
      </c>
      <c r="Z3" s="2">
        <v>0</v>
      </c>
      <c r="AA3" s="2">
        <v>0</v>
      </c>
      <c r="AB3" s="2">
        <v>0</v>
      </c>
      <c r="AC3" s="2">
        <v>0</v>
      </c>
      <c r="AD3" s="2">
        <v>0</v>
      </c>
    </row>
    <row r="4" spans="1:30" x14ac:dyDescent="0.35">
      <c r="A4" t="s">
        <v>38</v>
      </c>
      <c r="B4" t="s">
        <v>365</v>
      </c>
      <c r="C4" t="s">
        <v>31</v>
      </c>
      <c r="D4" s="23" t="s">
        <v>2448</v>
      </c>
      <c r="E4" s="1">
        <v>44753</v>
      </c>
      <c r="F4" s="3">
        <v>2022</v>
      </c>
      <c r="G4" s="1">
        <v>44764</v>
      </c>
      <c r="H4" t="s">
        <v>50</v>
      </c>
      <c r="I4" t="s">
        <v>51</v>
      </c>
      <c r="J4" t="s">
        <v>125</v>
      </c>
      <c r="K4" s="1">
        <v>44811</v>
      </c>
      <c r="L4" s="1">
        <v>44753</v>
      </c>
      <c r="M4" t="s">
        <v>35</v>
      </c>
      <c r="O4">
        <v>11</v>
      </c>
      <c r="P4" t="s">
        <v>64</v>
      </c>
      <c r="Q4" t="s">
        <v>191</v>
      </c>
      <c r="R4" s="2">
        <v>1150.6400000000001</v>
      </c>
      <c r="S4" s="2">
        <v>754.27</v>
      </c>
      <c r="T4" s="2">
        <v>48.12</v>
      </c>
      <c r="U4" s="2">
        <v>1953.03</v>
      </c>
      <c r="V4" s="2">
        <v>1150.6400000000001</v>
      </c>
      <c r="W4" s="2">
        <v>754.27</v>
      </c>
      <c r="X4" s="2">
        <v>48.12</v>
      </c>
      <c r="Y4" s="2">
        <v>1953.03</v>
      </c>
      <c r="Z4" s="2">
        <v>0</v>
      </c>
      <c r="AA4" s="2">
        <v>0</v>
      </c>
      <c r="AB4" s="2">
        <v>0</v>
      </c>
      <c r="AC4" s="2">
        <v>0</v>
      </c>
      <c r="AD4" s="2">
        <v>0</v>
      </c>
    </row>
    <row r="5" spans="1:30" x14ac:dyDescent="0.35">
      <c r="A5" t="s">
        <v>38</v>
      </c>
      <c r="B5" t="s">
        <v>346</v>
      </c>
      <c r="C5" t="s">
        <v>31</v>
      </c>
      <c r="D5" s="23" t="s">
        <v>2448</v>
      </c>
      <c r="E5" s="1">
        <v>44770</v>
      </c>
      <c r="F5" s="3">
        <v>2022</v>
      </c>
      <c r="G5" s="1">
        <v>44776</v>
      </c>
      <c r="H5" t="s">
        <v>32</v>
      </c>
      <c r="I5" t="s">
        <v>33</v>
      </c>
      <c r="J5" t="s">
        <v>287</v>
      </c>
      <c r="K5" s="1">
        <v>45195</v>
      </c>
      <c r="L5" s="1">
        <v>44770</v>
      </c>
      <c r="M5" t="s">
        <v>35</v>
      </c>
      <c r="O5">
        <v>98</v>
      </c>
      <c r="P5" t="s">
        <v>95</v>
      </c>
      <c r="Q5" t="s">
        <v>123</v>
      </c>
      <c r="R5" s="2">
        <v>5461.4</v>
      </c>
      <c r="S5" s="2">
        <v>11136.01</v>
      </c>
      <c r="T5" s="2">
        <v>5778.61</v>
      </c>
      <c r="U5" s="2">
        <v>22376.02</v>
      </c>
      <c r="V5" s="2">
        <v>5461.4</v>
      </c>
      <c r="W5" s="2">
        <v>11136.01</v>
      </c>
      <c r="X5" s="2">
        <v>5778.61</v>
      </c>
      <c r="Y5" s="2">
        <v>22376.02</v>
      </c>
      <c r="Z5" s="2">
        <v>0</v>
      </c>
      <c r="AA5" s="2">
        <v>0</v>
      </c>
      <c r="AB5" s="2">
        <v>0</v>
      </c>
      <c r="AC5" s="2">
        <v>0</v>
      </c>
      <c r="AD5" s="2">
        <v>0</v>
      </c>
    </row>
    <row r="6" spans="1:30" x14ac:dyDescent="0.35">
      <c r="A6" t="s">
        <v>54</v>
      </c>
      <c r="B6" t="s">
        <v>242</v>
      </c>
      <c r="C6" t="s">
        <v>31</v>
      </c>
      <c r="D6" s="23" t="s">
        <v>2448</v>
      </c>
      <c r="E6" s="1">
        <v>44777</v>
      </c>
      <c r="F6" s="3">
        <v>2022</v>
      </c>
      <c r="G6" s="1">
        <v>44817</v>
      </c>
      <c r="H6" t="s">
        <v>73</v>
      </c>
      <c r="I6" t="s">
        <v>51</v>
      </c>
      <c r="J6" t="s">
        <v>57</v>
      </c>
      <c r="K6" s="1">
        <v>45055</v>
      </c>
      <c r="L6" s="1">
        <v>43617</v>
      </c>
      <c r="M6" s="1">
        <v>45050</v>
      </c>
      <c r="N6" t="s">
        <v>58</v>
      </c>
      <c r="O6">
        <v>0</v>
      </c>
      <c r="P6" t="s">
        <v>243</v>
      </c>
      <c r="Q6" t="s">
        <v>65</v>
      </c>
      <c r="R6" s="2">
        <v>0</v>
      </c>
      <c r="S6" s="2">
        <v>9600</v>
      </c>
      <c r="T6" s="2">
        <v>3750.78</v>
      </c>
      <c r="U6" s="2">
        <v>13350.78</v>
      </c>
      <c r="V6" s="2">
        <v>0</v>
      </c>
      <c r="W6" s="2">
        <v>9600</v>
      </c>
      <c r="X6" s="2">
        <v>3750.78</v>
      </c>
      <c r="Y6" s="2">
        <v>13350.78</v>
      </c>
      <c r="Z6" s="2">
        <v>0</v>
      </c>
      <c r="AA6" s="2">
        <v>0</v>
      </c>
      <c r="AB6" s="2">
        <v>0</v>
      </c>
      <c r="AC6" s="2">
        <v>0</v>
      </c>
      <c r="AD6" s="2">
        <v>0</v>
      </c>
    </row>
    <row r="7" spans="1:30" x14ac:dyDescent="0.35">
      <c r="A7" t="s">
        <v>66</v>
      </c>
      <c r="B7" t="s">
        <v>67</v>
      </c>
      <c r="C7" t="s">
        <v>31</v>
      </c>
      <c r="D7" s="23" t="s">
        <v>2448</v>
      </c>
      <c r="E7" s="1">
        <v>44778</v>
      </c>
      <c r="F7" s="3">
        <v>2022</v>
      </c>
      <c r="G7" s="1">
        <v>44783</v>
      </c>
      <c r="H7" t="s">
        <v>68</v>
      </c>
      <c r="I7" t="s">
        <v>69</v>
      </c>
      <c r="J7" t="s">
        <v>70</v>
      </c>
      <c r="K7" t="s">
        <v>35</v>
      </c>
      <c r="L7" s="1">
        <v>44484</v>
      </c>
      <c r="M7" t="s">
        <v>35</v>
      </c>
      <c r="O7">
        <v>0</v>
      </c>
      <c r="P7" t="s">
        <v>64</v>
      </c>
      <c r="Q7" t="s">
        <v>71</v>
      </c>
      <c r="R7" s="2">
        <v>677.39</v>
      </c>
      <c r="S7" s="2">
        <v>0</v>
      </c>
      <c r="T7" s="2">
        <v>54.67</v>
      </c>
      <c r="U7" s="2">
        <v>732.06</v>
      </c>
      <c r="V7" s="2">
        <v>677.39</v>
      </c>
      <c r="W7" s="2">
        <v>0</v>
      </c>
      <c r="X7" s="2">
        <v>54.67</v>
      </c>
      <c r="Y7" s="2">
        <v>732.06</v>
      </c>
      <c r="Z7" s="2">
        <v>0</v>
      </c>
      <c r="AA7" s="2">
        <v>0</v>
      </c>
      <c r="AB7" s="2">
        <v>0</v>
      </c>
      <c r="AC7" s="2">
        <v>0</v>
      </c>
      <c r="AD7" s="2">
        <v>0</v>
      </c>
    </row>
    <row r="8" spans="1:30" x14ac:dyDescent="0.35">
      <c r="A8" t="s">
        <v>82</v>
      </c>
      <c r="B8" t="s">
        <v>409</v>
      </c>
      <c r="C8" t="s">
        <v>31</v>
      </c>
      <c r="D8" s="23" t="s">
        <v>2448</v>
      </c>
      <c r="E8" s="1">
        <v>44783</v>
      </c>
      <c r="F8" s="3">
        <v>2022</v>
      </c>
      <c r="G8" s="1">
        <v>44792</v>
      </c>
      <c r="H8" t="s">
        <v>206</v>
      </c>
      <c r="I8" t="s">
        <v>51</v>
      </c>
      <c r="J8" t="s">
        <v>183</v>
      </c>
      <c r="K8" s="1">
        <v>44837</v>
      </c>
      <c r="L8" s="1">
        <v>44783</v>
      </c>
      <c r="M8" t="s">
        <v>35</v>
      </c>
      <c r="O8">
        <v>0</v>
      </c>
      <c r="P8" t="s">
        <v>41</v>
      </c>
      <c r="Q8" t="s">
        <v>42</v>
      </c>
      <c r="R8" s="2">
        <v>337.58</v>
      </c>
      <c r="S8" s="2">
        <v>0</v>
      </c>
      <c r="T8" s="2">
        <v>201.97</v>
      </c>
      <c r="U8" s="2">
        <v>539.54999999999995</v>
      </c>
      <c r="V8" s="2">
        <v>337.58</v>
      </c>
      <c r="W8" s="2">
        <v>0</v>
      </c>
      <c r="X8" s="2">
        <v>201.97</v>
      </c>
      <c r="Y8" s="2">
        <v>539.54999999999995</v>
      </c>
      <c r="Z8" s="2">
        <v>0</v>
      </c>
      <c r="AA8" s="2">
        <v>0</v>
      </c>
      <c r="AB8" s="2">
        <v>0</v>
      </c>
      <c r="AC8" s="2">
        <v>0</v>
      </c>
      <c r="AD8" s="2">
        <v>0</v>
      </c>
    </row>
    <row r="9" spans="1:30" x14ac:dyDescent="0.35">
      <c r="A9" t="s">
        <v>82</v>
      </c>
      <c r="B9" t="s">
        <v>432</v>
      </c>
      <c r="C9" t="s">
        <v>31</v>
      </c>
      <c r="D9" s="23" t="s">
        <v>2448</v>
      </c>
      <c r="E9" s="1">
        <v>44785</v>
      </c>
      <c r="F9" s="3">
        <v>2022</v>
      </c>
      <c r="G9" s="1">
        <v>44798</v>
      </c>
      <c r="H9" t="s">
        <v>206</v>
      </c>
      <c r="I9" t="s">
        <v>51</v>
      </c>
      <c r="J9" t="s">
        <v>386</v>
      </c>
      <c r="K9" s="1">
        <v>44881</v>
      </c>
      <c r="L9" s="1">
        <v>44785</v>
      </c>
      <c r="M9" t="s">
        <v>35</v>
      </c>
      <c r="O9">
        <v>0</v>
      </c>
      <c r="P9" t="s">
        <v>36</v>
      </c>
      <c r="Q9" t="s">
        <v>145</v>
      </c>
      <c r="R9" s="2">
        <v>3440.68</v>
      </c>
      <c r="S9" s="2">
        <v>0</v>
      </c>
      <c r="T9" s="2">
        <v>909.71</v>
      </c>
      <c r="U9" s="2">
        <v>4350.3900000000003</v>
      </c>
      <c r="V9" s="2">
        <v>3440.68</v>
      </c>
      <c r="W9" s="2">
        <v>0</v>
      </c>
      <c r="X9" s="2">
        <v>909.71</v>
      </c>
      <c r="Y9" s="2">
        <v>4350.3900000000003</v>
      </c>
      <c r="Z9" s="2">
        <v>0</v>
      </c>
      <c r="AA9" s="2">
        <v>0</v>
      </c>
      <c r="AB9" s="2">
        <v>0</v>
      </c>
      <c r="AC9" s="2">
        <v>0</v>
      </c>
      <c r="AD9" s="2">
        <v>0</v>
      </c>
    </row>
    <row r="10" spans="1:30" x14ac:dyDescent="0.35">
      <c r="A10" t="s">
        <v>188</v>
      </c>
      <c r="B10" t="s">
        <v>261</v>
      </c>
      <c r="C10" t="s">
        <v>31</v>
      </c>
      <c r="D10" s="23" t="s">
        <v>2448</v>
      </c>
      <c r="E10" s="1">
        <v>44796</v>
      </c>
      <c r="F10" s="3">
        <v>2022</v>
      </c>
      <c r="G10" s="1">
        <v>44803</v>
      </c>
      <c r="H10" t="s">
        <v>211</v>
      </c>
      <c r="I10" t="s">
        <v>212</v>
      </c>
      <c r="J10" t="s">
        <v>92</v>
      </c>
      <c r="K10" s="1">
        <v>44818</v>
      </c>
      <c r="L10" s="1">
        <v>44794</v>
      </c>
      <c r="M10" t="s">
        <v>35</v>
      </c>
      <c r="O10">
        <v>0</v>
      </c>
      <c r="P10" t="s">
        <v>36</v>
      </c>
      <c r="Q10" t="s">
        <v>159</v>
      </c>
      <c r="R10" s="2">
        <v>0</v>
      </c>
      <c r="S10" s="2">
        <v>0</v>
      </c>
      <c r="T10" s="2">
        <v>0</v>
      </c>
      <c r="U10" s="2">
        <v>0</v>
      </c>
      <c r="V10" s="2">
        <v>0</v>
      </c>
      <c r="W10" s="2">
        <v>0</v>
      </c>
      <c r="X10" s="2">
        <v>0</v>
      </c>
      <c r="Y10" s="2">
        <v>0</v>
      </c>
      <c r="Z10" s="2">
        <v>0</v>
      </c>
      <c r="AA10" s="2">
        <v>0</v>
      </c>
      <c r="AB10" s="2">
        <v>0</v>
      </c>
      <c r="AC10" s="2">
        <v>0</v>
      </c>
      <c r="AD10" s="2">
        <v>0</v>
      </c>
    </row>
    <row r="11" spans="1:30" x14ac:dyDescent="0.35">
      <c r="A11" t="s">
        <v>38</v>
      </c>
      <c r="B11" t="s">
        <v>308</v>
      </c>
      <c r="C11" t="s">
        <v>31</v>
      </c>
      <c r="D11" s="23" t="s">
        <v>2448</v>
      </c>
      <c r="E11" s="1">
        <v>44796</v>
      </c>
      <c r="F11" s="3">
        <v>2022</v>
      </c>
      <c r="G11" s="1">
        <v>44803</v>
      </c>
      <c r="H11" t="s">
        <v>168</v>
      </c>
      <c r="I11" t="s">
        <v>169</v>
      </c>
      <c r="J11" t="s">
        <v>309</v>
      </c>
      <c r="K11" s="1">
        <v>45721</v>
      </c>
      <c r="L11" s="1">
        <v>41932</v>
      </c>
      <c r="M11" t="s">
        <v>35</v>
      </c>
      <c r="N11" t="s">
        <v>58</v>
      </c>
      <c r="O11">
        <v>134</v>
      </c>
      <c r="P11" t="s">
        <v>95</v>
      </c>
      <c r="Q11" t="s">
        <v>310</v>
      </c>
      <c r="R11" s="2">
        <v>15645.11</v>
      </c>
      <c r="S11" s="2">
        <v>20420.16</v>
      </c>
      <c r="T11" s="2">
        <v>5943.6</v>
      </c>
      <c r="U11" s="2">
        <v>42008.87</v>
      </c>
      <c r="V11" s="2">
        <v>15645.11</v>
      </c>
      <c r="W11" s="2">
        <v>20420.16</v>
      </c>
      <c r="X11" s="2">
        <v>5943.6</v>
      </c>
      <c r="Y11" s="2">
        <v>42008.87</v>
      </c>
      <c r="Z11" s="2">
        <v>0</v>
      </c>
      <c r="AA11" s="2">
        <v>0</v>
      </c>
      <c r="AB11" s="2">
        <v>0</v>
      </c>
      <c r="AC11" s="2">
        <v>0</v>
      </c>
      <c r="AD11" s="2">
        <v>-638.13</v>
      </c>
    </row>
    <row r="12" spans="1:30" x14ac:dyDescent="0.35">
      <c r="A12" t="s">
        <v>38</v>
      </c>
      <c r="B12" t="s">
        <v>39</v>
      </c>
      <c r="C12" t="s">
        <v>31</v>
      </c>
      <c r="D12" s="23" t="s">
        <v>2448</v>
      </c>
      <c r="E12" s="1">
        <v>44797</v>
      </c>
      <c r="F12" s="3">
        <v>2022</v>
      </c>
      <c r="G12" s="1">
        <v>44798</v>
      </c>
      <c r="H12" t="s">
        <v>32</v>
      </c>
      <c r="I12" t="s">
        <v>33</v>
      </c>
      <c r="J12" t="s">
        <v>40</v>
      </c>
      <c r="K12" s="1">
        <v>44806</v>
      </c>
      <c r="L12" s="1">
        <v>44797</v>
      </c>
      <c r="M12" t="s">
        <v>35</v>
      </c>
      <c r="O12">
        <v>0</v>
      </c>
      <c r="P12" t="s">
        <v>41</v>
      </c>
      <c r="Q12" t="s">
        <v>42</v>
      </c>
      <c r="R12" s="2">
        <v>95</v>
      </c>
      <c r="S12" s="2">
        <v>0</v>
      </c>
      <c r="T12" s="2">
        <v>32.17</v>
      </c>
      <c r="U12" s="2">
        <v>127.17</v>
      </c>
      <c r="V12" s="2">
        <v>95</v>
      </c>
      <c r="W12" s="2">
        <v>0</v>
      </c>
      <c r="X12" s="2">
        <v>32.17</v>
      </c>
      <c r="Y12" s="2">
        <v>127.17</v>
      </c>
      <c r="Z12" s="2">
        <v>0</v>
      </c>
      <c r="AA12" s="2">
        <v>0</v>
      </c>
      <c r="AB12" s="2">
        <v>0</v>
      </c>
      <c r="AC12" s="2">
        <v>0</v>
      </c>
      <c r="AD12" s="2">
        <v>0</v>
      </c>
    </row>
    <row r="13" spans="1:30" x14ac:dyDescent="0.35">
      <c r="A13" t="s">
        <v>29</v>
      </c>
      <c r="B13" t="s">
        <v>60</v>
      </c>
      <c r="C13" t="s">
        <v>31</v>
      </c>
      <c r="D13" s="23" t="s">
        <v>2448</v>
      </c>
      <c r="E13" s="1">
        <v>44803</v>
      </c>
      <c r="F13" s="3">
        <v>2022</v>
      </c>
      <c r="G13" s="1">
        <v>44820</v>
      </c>
      <c r="H13" t="s">
        <v>61</v>
      </c>
      <c r="I13" t="s">
        <v>62</v>
      </c>
      <c r="J13" t="s">
        <v>63</v>
      </c>
      <c r="K13" s="1">
        <v>44825</v>
      </c>
      <c r="L13" s="1">
        <v>39405</v>
      </c>
      <c r="M13" t="s">
        <v>35</v>
      </c>
      <c r="O13">
        <v>0</v>
      </c>
      <c r="P13" t="s">
        <v>64</v>
      </c>
      <c r="Q13" t="s">
        <v>65</v>
      </c>
      <c r="R13" s="2">
        <v>360.12</v>
      </c>
      <c r="S13" s="2">
        <v>0</v>
      </c>
      <c r="T13" s="2">
        <v>5.68</v>
      </c>
      <c r="U13" s="2">
        <v>365.8</v>
      </c>
      <c r="V13" s="2">
        <v>360.12</v>
      </c>
      <c r="W13" s="2">
        <v>0</v>
      </c>
      <c r="X13" s="2">
        <v>5.68</v>
      </c>
      <c r="Y13" s="2">
        <v>365.8</v>
      </c>
      <c r="Z13" s="2">
        <v>0</v>
      </c>
      <c r="AA13" s="2">
        <v>0</v>
      </c>
      <c r="AB13" s="2">
        <v>0</v>
      </c>
      <c r="AC13" s="2">
        <v>0</v>
      </c>
      <c r="AD13" s="2">
        <v>0</v>
      </c>
    </row>
    <row r="14" spans="1:30" x14ac:dyDescent="0.35">
      <c r="A14" t="s">
        <v>134</v>
      </c>
      <c r="B14" t="s">
        <v>135</v>
      </c>
      <c r="C14" t="s">
        <v>31</v>
      </c>
      <c r="D14" s="23" t="s">
        <v>2448</v>
      </c>
      <c r="E14" s="1">
        <v>44803</v>
      </c>
      <c r="F14" s="3">
        <v>2022</v>
      </c>
      <c r="G14" s="1">
        <v>45266</v>
      </c>
      <c r="H14" t="s">
        <v>32</v>
      </c>
      <c r="I14" t="s">
        <v>45</v>
      </c>
      <c r="J14" t="s">
        <v>40</v>
      </c>
      <c r="K14" t="s">
        <v>35</v>
      </c>
      <c r="L14" s="1">
        <v>35136</v>
      </c>
      <c r="M14" t="s">
        <v>35</v>
      </c>
      <c r="O14">
        <v>0</v>
      </c>
      <c r="P14" t="s">
        <v>36</v>
      </c>
      <c r="Q14" t="s">
        <v>59</v>
      </c>
      <c r="R14" s="2">
        <v>0</v>
      </c>
      <c r="S14" s="2">
        <v>0</v>
      </c>
      <c r="T14" s="2">
        <v>157.6</v>
      </c>
      <c r="U14" s="2">
        <v>157.6</v>
      </c>
      <c r="V14" s="2">
        <v>0</v>
      </c>
      <c r="W14" s="2">
        <v>0</v>
      </c>
      <c r="X14" s="2">
        <v>157.6</v>
      </c>
      <c r="Y14" s="2">
        <v>157.6</v>
      </c>
      <c r="Z14" s="2">
        <v>0</v>
      </c>
      <c r="AA14" s="2">
        <v>0</v>
      </c>
      <c r="AB14" s="2">
        <v>0</v>
      </c>
      <c r="AC14" s="2">
        <v>0</v>
      </c>
      <c r="AD14" s="2">
        <v>0</v>
      </c>
    </row>
    <row r="15" spans="1:30" x14ac:dyDescent="0.35">
      <c r="A15" t="s">
        <v>82</v>
      </c>
      <c r="B15" t="s">
        <v>83</v>
      </c>
      <c r="C15" t="s">
        <v>31</v>
      </c>
      <c r="D15" s="23" t="s">
        <v>2448</v>
      </c>
      <c r="E15" s="1">
        <v>44817</v>
      </c>
      <c r="F15" s="3">
        <v>2022</v>
      </c>
      <c r="G15" s="1">
        <v>44819</v>
      </c>
      <c r="H15" t="s">
        <v>84</v>
      </c>
      <c r="I15" t="s">
        <v>85</v>
      </c>
      <c r="J15" t="s">
        <v>86</v>
      </c>
      <c r="K15" s="1">
        <v>45314</v>
      </c>
      <c r="L15" s="1">
        <v>43344</v>
      </c>
      <c r="M15" s="1">
        <v>45303</v>
      </c>
      <c r="N15" t="s">
        <v>58</v>
      </c>
      <c r="O15">
        <v>0</v>
      </c>
      <c r="P15" t="s">
        <v>36</v>
      </c>
      <c r="Q15" t="s">
        <v>87</v>
      </c>
      <c r="R15" s="2">
        <v>2891.03</v>
      </c>
      <c r="S15" s="2">
        <v>0</v>
      </c>
      <c r="T15" s="2">
        <v>3321.72</v>
      </c>
      <c r="U15" s="2">
        <v>6212.75</v>
      </c>
      <c r="V15" s="2">
        <v>2891.03</v>
      </c>
      <c r="W15" s="2">
        <v>0</v>
      </c>
      <c r="X15" s="2">
        <v>3321.72</v>
      </c>
      <c r="Y15" s="2">
        <v>6212.75</v>
      </c>
      <c r="Z15" s="2">
        <v>0</v>
      </c>
      <c r="AA15" s="2">
        <v>0</v>
      </c>
      <c r="AB15" s="2">
        <v>0</v>
      </c>
      <c r="AC15" s="2">
        <v>0</v>
      </c>
      <c r="AD15" s="2">
        <v>0</v>
      </c>
    </row>
    <row r="16" spans="1:30" x14ac:dyDescent="0.35">
      <c r="A16" t="s">
        <v>38</v>
      </c>
      <c r="B16" t="s">
        <v>419</v>
      </c>
      <c r="C16" t="s">
        <v>31</v>
      </c>
      <c r="D16" s="23" t="s">
        <v>2448</v>
      </c>
      <c r="E16" s="1">
        <v>44817</v>
      </c>
      <c r="F16" s="3">
        <v>2022</v>
      </c>
      <c r="G16" s="1">
        <v>44823</v>
      </c>
      <c r="H16" t="s">
        <v>61</v>
      </c>
      <c r="I16" t="s">
        <v>62</v>
      </c>
      <c r="J16" t="s">
        <v>190</v>
      </c>
      <c r="K16" t="s">
        <v>35</v>
      </c>
      <c r="L16" s="1">
        <v>42272</v>
      </c>
      <c r="M16" t="s">
        <v>35</v>
      </c>
      <c r="O16">
        <v>0</v>
      </c>
      <c r="P16" t="s">
        <v>64</v>
      </c>
      <c r="Q16" t="s">
        <v>59</v>
      </c>
      <c r="R16" s="2">
        <v>0</v>
      </c>
      <c r="S16" s="2">
        <v>0</v>
      </c>
      <c r="T16" s="2">
        <v>0</v>
      </c>
      <c r="U16" s="2">
        <v>0</v>
      </c>
      <c r="V16" s="2">
        <v>0</v>
      </c>
      <c r="W16" s="2">
        <v>0</v>
      </c>
      <c r="X16" s="2">
        <v>0</v>
      </c>
      <c r="Y16" s="2">
        <v>0</v>
      </c>
      <c r="Z16" s="2">
        <v>0</v>
      </c>
      <c r="AA16" s="2">
        <v>0</v>
      </c>
      <c r="AB16" s="2">
        <v>0</v>
      </c>
      <c r="AC16" s="2">
        <v>0</v>
      </c>
      <c r="AD16" s="2">
        <v>0</v>
      </c>
    </row>
    <row r="17" spans="1:30" x14ac:dyDescent="0.35">
      <c r="A17" t="s">
        <v>188</v>
      </c>
      <c r="B17" t="s">
        <v>503</v>
      </c>
      <c r="C17" t="s">
        <v>31</v>
      </c>
      <c r="D17" s="23" t="s">
        <v>2448</v>
      </c>
      <c r="E17" s="1">
        <v>44834</v>
      </c>
      <c r="F17" s="3">
        <v>2022</v>
      </c>
      <c r="G17" s="1">
        <v>44855</v>
      </c>
      <c r="H17" t="s">
        <v>61</v>
      </c>
      <c r="I17" t="s">
        <v>62</v>
      </c>
      <c r="J17" t="s">
        <v>378</v>
      </c>
      <c r="K17" s="1">
        <v>45097</v>
      </c>
      <c r="L17" s="1">
        <v>42277</v>
      </c>
      <c r="M17" t="s">
        <v>35</v>
      </c>
      <c r="O17">
        <v>28</v>
      </c>
      <c r="P17" t="s">
        <v>36</v>
      </c>
      <c r="Q17" t="s">
        <v>93</v>
      </c>
      <c r="R17" s="2">
        <v>1648.1</v>
      </c>
      <c r="S17" s="2">
        <v>3094.12</v>
      </c>
      <c r="T17" s="2">
        <v>35.33</v>
      </c>
      <c r="U17" s="2">
        <v>4777.55</v>
      </c>
      <c r="V17" s="2">
        <v>1648.1</v>
      </c>
      <c r="W17" s="2">
        <v>3094.12</v>
      </c>
      <c r="X17" s="2">
        <v>35.33</v>
      </c>
      <c r="Y17" s="2">
        <v>4777.55</v>
      </c>
      <c r="Z17" s="2">
        <v>0</v>
      </c>
      <c r="AA17" s="2">
        <v>0</v>
      </c>
      <c r="AB17" s="2">
        <v>0</v>
      </c>
      <c r="AC17" s="2">
        <v>0</v>
      </c>
      <c r="AD17" s="2">
        <v>0</v>
      </c>
    </row>
    <row r="18" spans="1:30" x14ac:dyDescent="0.35">
      <c r="A18" t="s">
        <v>38</v>
      </c>
      <c r="B18" t="s">
        <v>498</v>
      </c>
      <c r="C18" t="s">
        <v>31</v>
      </c>
      <c r="D18" s="23" t="s">
        <v>2448</v>
      </c>
      <c r="E18" s="1">
        <v>44839</v>
      </c>
      <c r="F18" s="3">
        <v>2022</v>
      </c>
      <c r="G18" s="1">
        <v>44858</v>
      </c>
      <c r="H18" t="s">
        <v>68</v>
      </c>
      <c r="I18" t="s">
        <v>69</v>
      </c>
      <c r="J18" t="s">
        <v>186</v>
      </c>
      <c r="K18" s="1">
        <v>44876</v>
      </c>
      <c r="L18" s="1">
        <v>44683</v>
      </c>
      <c r="M18" t="s">
        <v>35</v>
      </c>
      <c r="O18">
        <v>0</v>
      </c>
      <c r="P18" t="s">
        <v>36</v>
      </c>
      <c r="Q18" t="s">
        <v>76</v>
      </c>
      <c r="R18" s="2">
        <v>1359.28</v>
      </c>
      <c r="S18" s="2">
        <v>0</v>
      </c>
      <c r="T18" s="2">
        <v>116.54</v>
      </c>
      <c r="U18" s="2">
        <v>1475.82</v>
      </c>
      <c r="V18" s="2">
        <v>1359.28</v>
      </c>
      <c r="W18" s="2">
        <v>0</v>
      </c>
      <c r="X18" s="2">
        <v>116.54</v>
      </c>
      <c r="Y18" s="2">
        <v>1475.82</v>
      </c>
      <c r="Z18" s="2">
        <v>0</v>
      </c>
      <c r="AA18" s="2">
        <v>0</v>
      </c>
      <c r="AB18" s="2">
        <v>0</v>
      </c>
      <c r="AC18" s="2">
        <v>0</v>
      </c>
      <c r="AD18" s="2">
        <v>0</v>
      </c>
    </row>
    <row r="19" spans="1:30" x14ac:dyDescent="0.35">
      <c r="A19" t="s">
        <v>38</v>
      </c>
      <c r="B19" t="s">
        <v>116</v>
      </c>
      <c r="C19" t="s">
        <v>31</v>
      </c>
      <c r="D19" s="23" t="s">
        <v>2448</v>
      </c>
      <c r="E19" s="1">
        <v>44846</v>
      </c>
      <c r="F19" s="3">
        <v>2022</v>
      </c>
      <c r="G19" s="1">
        <v>44848</v>
      </c>
      <c r="H19" t="s">
        <v>32</v>
      </c>
      <c r="I19" t="s">
        <v>33</v>
      </c>
      <c r="J19" t="s">
        <v>117</v>
      </c>
      <c r="K19" s="1">
        <v>44967</v>
      </c>
      <c r="L19" s="1">
        <v>44846</v>
      </c>
      <c r="M19" t="s">
        <v>35</v>
      </c>
      <c r="O19">
        <v>0</v>
      </c>
      <c r="P19" t="s">
        <v>118</v>
      </c>
      <c r="Q19" t="s">
        <v>117</v>
      </c>
      <c r="R19" s="2">
        <v>726.88</v>
      </c>
      <c r="S19" s="2">
        <v>0</v>
      </c>
      <c r="T19" s="2">
        <v>157.85</v>
      </c>
      <c r="U19" s="2">
        <v>884.73</v>
      </c>
      <c r="V19" s="2">
        <v>726.88</v>
      </c>
      <c r="W19" s="2">
        <v>0</v>
      </c>
      <c r="X19" s="2">
        <v>157.85</v>
      </c>
      <c r="Y19" s="2">
        <v>884.73</v>
      </c>
      <c r="Z19" s="2">
        <v>0</v>
      </c>
      <c r="AA19" s="2">
        <v>0</v>
      </c>
      <c r="AB19" s="2">
        <v>0</v>
      </c>
      <c r="AC19" s="2">
        <v>0</v>
      </c>
      <c r="AD19" s="2">
        <v>0</v>
      </c>
    </row>
    <row r="20" spans="1:30" x14ac:dyDescent="0.35">
      <c r="A20" t="s">
        <v>29</v>
      </c>
      <c r="B20" t="s">
        <v>298</v>
      </c>
      <c r="C20" t="s">
        <v>31</v>
      </c>
      <c r="D20" s="23" t="s">
        <v>2448</v>
      </c>
      <c r="E20" s="1">
        <v>44855</v>
      </c>
      <c r="F20" s="3">
        <v>2022</v>
      </c>
      <c r="G20" s="1">
        <v>44855</v>
      </c>
      <c r="H20" t="s">
        <v>164</v>
      </c>
      <c r="I20" t="s">
        <v>51</v>
      </c>
      <c r="J20" t="s">
        <v>186</v>
      </c>
      <c r="K20" s="1">
        <v>45005</v>
      </c>
      <c r="L20" s="1">
        <v>44855</v>
      </c>
      <c r="M20" s="1">
        <v>45005</v>
      </c>
      <c r="O20">
        <v>0</v>
      </c>
      <c r="P20" t="s">
        <v>36</v>
      </c>
      <c r="Q20" t="s">
        <v>87</v>
      </c>
      <c r="R20" s="2">
        <v>1310.52</v>
      </c>
      <c r="S20" s="2">
        <v>0</v>
      </c>
      <c r="T20" s="2">
        <v>58.61</v>
      </c>
      <c r="U20" s="2">
        <v>1369.13</v>
      </c>
      <c r="V20" s="2">
        <v>1310.52</v>
      </c>
      <c r="W20" s="2">
        <v>0</v>
      </c>
      <c r="X20" s="2">
        <v>58.61</v>
      </c>
      <c r="Y20" s="2">
        <v>1369.13</v>
      </c>
      <c r="Z20" s="2">
        <v>0</v>
      </c>
      <c r="AA20" s="2">
        <v>0</v>
      </c>
      <c r="AB20" s="2">
        <v>0</v>
      </c>
      <c r="AC20" s="2">
        <v>0</v>
      </c>
      <c r="AD20" s="2">
        <v>-15.08</v>
      </c>
    </row>
    <row r="21" spans="1:30" x14ac:dyDescent="0.35">
      <c r="A21" t="s">
        <v>29</v>
      </c>
      <c r="B21" t="s">
        <v>205</v>
      </c>
      <c r="C21" t="s">
        <v>31</v>
      </c>
      <c r="D21" s="23" t="s">
        <v>2448</v>
      </c>
      <c r="E21" s="1">
        <v>44856</v>
      </c>
      <c r="F21" s="3">
        <v>2022</v>
      </c>
      <c r="G21" s="1">
        <v>45040</v>
      </c>
      <c r="H21" t="s">
        <v>206</v>
      </c>
      <c r="I21" t="s">
        <v>51</v>
      </c>
      <c r="J21" t="s">
        <v>186</v>
      </c>
      <c r="K21" s="1">
        <v>45048</v>
      </c>
      <c r="L21" s="1">
        <v>33168</v>
      </c>
      <c r="M21" t="s">
        <v>35</v>
      </c>
      <c r="O21">
        <v>0</v>
      </c>
      <c r="P21" t="s">
        <v>36</v>
      </c>
      <c r="Q21" t="s">
        <v>59</v>
      </c>
      <c r="R21" s="2">
        <v>517.76</v>
      </c>
      <c r="S21" s="2">
        <v>0</v>
      </c>
      <c r="T21" s="2">
        <v>23.43</v>
      </c>
      <c r="U21" s="2">
        <v>541.19000000000005</v>
      </c>
      <c r="V21" s="2">
        <v>517.76</v>
      </c>
      <c r="W21" s="2">
        <v>0</v>
      </c>
      <c r="X21" s="2">
        <v>23.43</v>
      </c>
      <c r="Y21" s="2">
        <v>541.19000000000005</v>
      </c>
      <c r="Z21" s="2">
        <v>0</v>
      </c>
      <c r="AA21" s="2">
        <v>0</v>
      </c>
      <c r="AB21" s="2">
        <v>0</v>
      </c>
      <c r="AC21" s="2">
        <v>0</v>
      </c>
      <c r="AD21" s="2">
        <v>0</v>
      </c>
    </row>
    <row r="22" spans="1:30" x14ac:dyDescent="0.35">
      <c r="A22" t="s">
        <v>82</v>
      </c>
      <c r="B22" t="s">
        <v>143</v>
      </c>
      <c r="C22" t="s">
        <v>31</v>
      </c>
      <c r="D22" s="23" t="s">
        <v>2448</v>
      </c>
      <c r="E22" s="1">
        <v>44861</v>
      </c>
      <c r="F22" s="3">
        <v>2022</v>
      </c>
      <c r="G22" s="1">
        <v>44876</v>
      </c>
      <c r="H22" t="s">
        <v>144</v>
      </c>
      <c r="I22" t="s">
        <v>121</v>
      </c>
      <c r="J22" t="s">
        <v>103</v>
      </c>
      <c r="K22" t="s">
        <v>35</v>
      </c>
      <c r="L22" s="1">
        <v>44861</v>
      </c>
      <c r="M22" t="s">
        <v>35</v>
      </c>
      <c r="O22">
        <v>0</v>
      </c>
      <c r="P22" t="s">
        <v>36</v>
      </c>
      <c r="Q22" t="s">
        <v>145</v>
      </c>
      <c r="R22" s="2">
        <v>238.62</v>
      </c>
      <c r="S22" s="2">
        <v>0</v>
      </c>
      <c r="T22" s="2">
        <v>37.43</v>
      </c>
      <c r="U22" s="2">
        <v>276.05</v>
      </c>
      <c r="V22" s="2">
        <v>238.62</v>
      </c>
      <c r="W22" s="2">
        <v>0</v>
      </c>
      <c r="X22" s="2">
        <v>37.43</v>
      </c>
      <c r="Y22" s="2">
        <v>276.05</v>
      </c>
      <c r="Z22" s="2">
        <v>0</v>
      </c>
      <c r="AA22" s="2">
        <v>0</v>
      </c>
      <c r="AB22" s="2">
        <v>0</v>
      </c>
      <c r="AC22" s="2">
        <v>0</v>
      </c>
      <c r="AD22" s="2">
        <v>0</v>
      </c>
    </row>
    <row r="23" spans="1:30" x14ac:dyDescent="0.35">
      <c r="A23" t="s">
        <v>29</v>
      </c>
      <c r="B23" t="s">
        <v>420</v>
      </c>
      <c r="C23" t="s">
        <v>31</v>
      </c>
      <c r="D23" s="23" t="s">
        <v>2448</v>
      </c>
      <c r="E23" s="1">
        <v>44865</v>
      </c>
      <c r="F23" s="3">
        <v>2022</v>
      </c>
      <c r="G23" s="1">
        <v>44874</v>
      </c>
      <c r="H23" t="s">
        <v>50</v>
      </c>
      <c r="I23" t="s">
        <v>51</v>
      </c>
      <c r="J23" t="s">
        <v>40</v>
      </c>
      <c r="K23" s="1">
        <v>44893</v>
      </c>
      <c r="L23" s="1">
        <v>44669</v>
      </c>
      <c r="M23" t="s">
        <v>35</v>
      </c>
      <c r="O23">
        <v>0</v>
      </c>
      <c r="P23" t="s">
        <v>36</v>
      </c>
      <c r="Q23" t="s">
        <v>65</v>
      </c>
      <c r="R23" s="2">
        <v>0</v>
      </c>
      <c r="S23" s="2">
        <v>0</v>
      </c>
      <c r="T23" s="2">
        <v>0</v>
      </c>
      <c r="U23" s="2">
        <v>0</v>
      </c>
      <c r="V23" s="2">
        <v>0</v>
      </c>
      <c r="W23" s="2">
        <v>0</v>
      </c>
      <c r="X23" s="2">
        <v>0</v>
      </c>
      <c r="Y23" s="2">
        <v>0</v>
      </c>
      <c r="Z23" s="2">
        <v>0</v>
      </c>
      <c r="AA23" s="2">
        <v>0</v>
      </c>
      <c r="AB23" s="2">
        <v>0</v>
      </c>
      <c r="AC23" s="2">
        <v>0</v>
      </c>
      <c r="AD23" s="2">
        <v>0</v>
      </c>
    </row>
    <row r="24" spans="1:30" x14ac:dyDescent="0.35">
      <c r="A24" t="s">
        <v>134</v>
      </c>
      <c r="B24" t="s">
        <v>441</v>
      </c>
      <c r="C24" t="s">
        <v>31</v>
      </c>
      <c r="D24" s="23" t="s">
        <v>2448</v>
      </c>
      <c r="E24" s="1">
        <v>44866</v>
      </c>
      <c r="F24" s="3">
        <v>2022</v>
      </c>
      <c r="G24" s="1">
        <v>44923</v>
      </c>
      <c r="H24" t="s">
        <v>61</v>
      </c>
      <c r="I24" t="s">
        <v>62</v>
      </c>
      <c r="J24" t="s">
        <v>40</v>
      </c>
      <c r="K24" s="1">
        <v>45525</v>
      </c>
      <c r="L24" s="1">
        <v>42005</v>
      </c>
      <c r="M24" s="1">
        <v>45518</v>
      </c>
      <c r="N24" t="s">
        <v>58</v>
      </c>
      <c r="O24">
        <v>10</v>
      </c>
      <c r="P24" t="s">
        <v>41</v>
      </c>
      <c r="Q24" t="s">
        <v>42</v>
      </c>
      <c r="R24" s="2">
        <v>684.2</v>
      </c>
      <c r="S24" s="2">
        <v>1227.44</v>
      </c>
      <c r="T24" s="2">
        <v>3960.31</v>
      </c>
      <c r="U24" s="2">
        <v>5871.95</v>
      </c>
      <c r="V24" s="2">
        <v>684.2</v>
      </c>
      <c r="W24" s="2">
        <v>1227.44</v>
      </c>
      <c r="X24" s="2">
        <v>3960.31</v>
      </c>
      <c r="Y24" s="2">
        <v>5871.95</v>
      </c>
      <c r="Z24" s="2">
        <v>0</v>
      </c>
      <c r="AA24" s="2">
        <v>0</v>
      </c>
      <c r="AB24" s="2">
        <v>0</v>
      </c>
      <c r="AC24" s="2">
        <v>0</v>
      </c>
      <c r="AD24" s="2">
        <v>0</v>
      </c>
    </row>
    <row r="25" spans="1:30" x14ac:dyDescent="0.35">
      <c r="A25" t="s">
        <v>90</v>
      </c>
      <c r="B25" t="s">
        <v>201</v>
      </c>
      <c r="C25" t="s">
        <v>132</v>
      </c>
      <c r="D25" s="23" t="s">
        <v>2448</v>
      </c>
      <c r="E25" s="1">
        <v>44869</v>
      </c>
      <c r="F25" s="3">
        <v>2022</v>
      </c>
      <c r="G25" s="1">
        <v>44914</v>
      </c>
      <c r="H25" t="s">
        <v>138</v>
      </c>
      <c r="I25" t="s">
        <v>139</v>
      </c>
      <c r="J25" t="s">
        <v>92</v>
      </c>
      <c r="K25" t="s">
        <v>35</v>
      </c>
      <c r="L25" s="1">
        <v>38112</v>
      </c>
      <c r="M25" s="1">
        <v>45733</v>
      </c>
      <c r="N25" t="s">
        <v>58</v>
      </c>
      <c r="O25">
        <v>0</v>
      </c>
      <c r="P25" t="s">
        <v>36</v>
      </c>
      <c r="Q25" t="s">
        <v>65</v>
      </c>
      <c r="R25" s="2">
        <v>17212</v>
      </c>
      <c r="S25" s="2">
        <v>36294</v>
      </c>
      <c r="T25" s="2">
        <v>19177</v>
      </c>
      <c r="U25" s="2">
        <v>72683</v>
      </c>
      <c r="V25" s="2">
        <v>15710.97</v>
      </c>
      <c r="W25" s="2">
        <v>0</v>
      </c>
      <c r="X25" s="2">
        <v>19015.2</v>
      </c>
      <c r="Y25" s="2">
        <v>34726.17</v>
      </c>
      <c r="Z25" s="2">
        <v>1501.03</v>
      </c>
      <c r="AA25" s="2">
        <v>36294</v>
      </c>
      <c r="AB25" s="2">
        <v>161.80000000000001</v>
      </c>
      <c r="AC25" s="2">
        <v>37956.83</v>
      </c>
      <c r="AD25" s="2">
        <v>-3284.56</v>
      </c>
    </row>
    <row r="26" spans="1:30" x14ac:dyDescent="0.35">
      <c r="A26" t="s">
        <v>328</v>
      </c>
      <c r="B26" t="s">
        <v>329</v>
      </c>
      <c r="C26" t="s">
        <v>31</v>
      </c>
      <c r="D26" s="23" t="s">
        <v>2448</v>
      </c>
      <c r="E26" s="1">
        <v>44869</v>
      </c>
      <c r="F26" s="3">
        <v>2022</v>
      </c>
      <c r="G26" s="1">
        <v>44883</v>
      </c>
      <c r="H26" t="s">
        <v>330</v>
      </c>
      <c r="I26" t="s">
        <v>51</v>
      </c>
      <c r="J26" t="s">
        <v>117</v>
      </c>
      <c r="K26" s="1">
        <v>45896</v>
      </c>
      <c r="L26" s="1">
        <v>40123</v>
      </c>
      <c r="M26" s="1">
        <v>45895</v>
      </c>
      <c r="N26" t="s">
        <v>58</v>
      </c>
      <c r="O26">
        <v>1</v>
      </c>
      <c r="P26" t="s">
        <v>118</v>
      </c>
      <c r="Q26" t="s">
        <v>117</v>
      </c>
      <c r="R26" s="2">
        <v>33219.06</v>
      </c>
      <c r="S26" s="2">
        <v>31209.200000000001</v>
      </c>
      <c r="T26" s="2">
        <v>19951.189999999999</v>
      </c>
      <c r="U26" s="2">
        <v>84379.45</v>
      </c>
      <c r="V26" s="2">
        <v>33219.06</v>
      </c>
      <c r="W26" s="2">
        <v>31209.200000000001</v>
      </c>
      <c r="X26" s="2">
        <v>19951.189999999999</v>
      </c>
      <c r="Y26" s="2">
        <v>84379.45</v>
      </c>
      <c r="Z26" s="2">
        <v>0</v>
      </c>
      <c r="AA26" s="2">
        <v>0</v>
      </c>
      <c r="AB26" s="2">
        <v>0</v>
      </c>
      <c r="AC26" s="2">
        <v>0</v>
      </c>
      <c r="AD26" s="2">
        <v>0</v>
      </c>
    </row>
    <row r="27" spans="1:30" x14ac:dyDescent="0.35">
      <c r="A27" t="s">
        <v>29</v>
      </c>
      <c r="B27" t="s">
        <v>351</v>
      </c>
      <c r="C27" t="s">
        <v>31</v>
      </c>
      <c r="D27" s="23" t="s">
        <v>2448</v>
      </c>
      <c r="E27" s="1">
        <v>44879</v>
      </c>
      <c r="F27" s="3">
        <v>2022</v>
      </c>
      <c r="G27" s="1">
        <v>44887</v>
      </c>
      <c r="H27" t="s">
        <v>182</v>
      </c>
      <c r="I27" t="s">
        <v>352</v>
      </c>
      <c r="J27" t="s">
        <v>92</v>
      </c>
      <c r="K27" s="1">
        <v>45120</v>
      </c>
      <c r="L27" s="1">
        <v>42345</v>
      </c>
      <c r="M27" t="s">
        <v>35</v>
      </c>
      <c r="O27">
        <v>0</v>
      </c>
      <c r="P27" t="s">
        <v>36</v>
      </c>
      <c r="Q27" t="s">
        <v>93</v>
      </c>
      <c r="R27" s="2">
        <v>2546.91</v>
      </c>
      <c r="S27" s="2">
        <v>0</v>
      </c>
      <c r="T27" s="2">
        <v>4615.51</v>
      </c>
      <c r="U27" s="2">
        <v>7162.42</v>
      </c>
      <c r="V27" s="2">
        <v>2546.91</v>
      </c>
      <c r="W27" s="2">
        <v>0</v>
      </c>
      <c r="X27" s="2">
        <v>4615.51</v>
      </c>
      <c r="Y27" s="2">
        <v>7162.42</v>
      </c>
      <c r="Z27" s="2">
        <v>0</v>
      </c>
      <c r="AA27" s="2">
        <v>0</v>
      </c>
      <c r="AB27" s="2">
        <v>0</v>
      </c>
      <c r="AC27" s="2">
        <v>0</v>
      </c>
      <c r="AD27" s="2">
        <v>0</v>
      </c>
    </row>
    <row r="28" spans="1:30" x14ac:dyDescent="0.35">
      <c r="A28" t="s">
        <v>134</v>
      </c>
      <c r="B28" t="s">
        <v>146</v>
      </c>
      <c r="C28" t="s">
        <v>31</v>
      </c>
      <c r="D28" s="23" t="s">
        <v>2448</v>
      </c>
      <c r="E28" s="1">
        <v>44882</v>
      </c>
      <c r="F28" s="3">
        <v>2022</v>
      </c>
      <c r="G28" s="1">
        <v>44901</v>
      </c>
      <c r="H28" t="s">
        <v>84</v>
      </c>
      <c r="I28" t="s">
        <v>85</v>
      </c>
      <c r="J28" t="s">
        <v>40</v>
      </c>
      <c r="K28" s="1">
        <v>45786</v>
      </c>
      <c r="L28" s="1">
        <v>44825</v>
      </c>
      <c r="M28" s="1">
        <v>45680</v>
      </c>
      <c r="N28" t="s">
        <v>58</v>
      </c>
      <c r="O28">
        <v>0</v>
      </c>
      <c r="P28" t="s">
        <v>64</v>
      </c>
      <c r="Q28" t="s">
        <v>42</v>
      </c>
      <c r="R28" s="2">
        <v>10195.120000000001</v>
      </c>
      <c r="S28" s="2">
        <v>15661.09</v>
      </c>
      <c r="T28" s="2">
        <v>3300.27</v>
      </c>
      <c r="U28" s="2">
        <v>29156.48</v>
      </c>
      <c r="V28" s="2">
        <v>10195.120000000001</v>
      </c>
      <c r="W28" s="2">
        <v>15661.09</v>
      </c>
      <c r="X28" s="2">
        <v>3300.27</v>
      </c>
      <c r="Y28" s="2">
        <v>29156.48</v>
      </c>
      <c r="Z28" s="2">
        <v>0</v>
      </c>
      <c r="AA28" s="2">
        <v>0</v>
      </c>
      <c r="AB28" s="2">
        <v>0</v>
      </c>
      <c r="AC28" s="2">
        <v>0</v>
      </c>
      <c r="AD28" s="2">
        <v>-5998.77</v>
      </c>
    </row>
    <row r="29" spans="1:30" x14ac:dyDescent="0.35">
      <c r="A29" t="s">
        <v>82</v>
      </c>
      <c r="B29" t="s">
        <v>129</v>
      </c>
      <c r="C29" t="s">
        <v>31</v>
      </c>
      <c r="D29" s="23" t="s">
        <v>2448</v>
      </c>
      <c r="E29" s="1">
        <v>44887</v>
      </c>
      <c r="F29" s="3">
        <v>2022</v>
      </c>
      <c r="G29" s="1">
        <v>44903</v>
      </c>
      <c r="H29" t="s">
        <v>120</v>
      </c>
      <c r="I29" t="s">
        <v>121</v>
      </c>
      <c r="J29" t="s">
        <v>130</v>
      </c>
      <c r="K29" s="1">
        <v>45057</v>
      </c>
      <c r="L29" s="1">
        <v>44723</v>
      </c>
      <c r="M29" t="s">
        <v>35</v>
      </c>
      <c r="O29">
        <v>0</v>
      </c>
      <c r="P29" t="s">
        <v>36</v>
      </c>
      <c r="Q29" t="s">
        <v>65</v>
      </c>
      <c r="R29" s="2">
        <v>222.65</v>
      </c>
      <c r="S29" s="2">
        <v>0</v>
      </c>
      <c r="T29" s="2">
        <v>17.559999999999999</v>
      </c>
      <c r="U29" s="2">
        <v>240.21</v>
      </c>
      <c r="V29" s="2">
        <v>222.65</v>
      </c>
      <c r="W29" s="2">
        <v>0</v>
      </c>
      <c r="X29" s="2">
        <v>17.559999999999999</v>
      </c>
      <c r="Y29" s="2">
        <v>240.21</v>
      </c>
      <c r="Z29" s="2">
        <v>0</v>
      </c>
      <c r="AA29" s="2">
        <v>0</v>
      </c>
      <c r="AB29" s="2">
        <v>0</v>
      </c>
      <c r="AC29" s="2">
        <v>0</v>
      </c>
      <c r="AD29" s="2">
        <v>0</v>
      </c>
    </row>
    <row r="30" spans="1:30" x14ac:dyDescent="0.35">
      <c r="A30" t="s">
        <v>82</v>
      </c>
      <c r="B30" t="s">
        <v>268</v>
      </c>
      <c r="C30" t="s">
        <v>31</v>
      </c>
      <c r="D30" s="23" t="s">
        <v>2448</v>
      </c>
      <c r="E30" s="1">
        <v>44887</v>
      </c>
      <c r="F30" s="3">
        <v>2022</v>
      </c>
      <c r="G30" s="1">
        <v>44894</v>
      </c>
      <c r="H30" t="s">
        <v>32</v>
      </c>
      <c r="I30" t="s">
        <v>33</v>
      </c>
      <c r="J30" t="s">
        <v>183</v>
      </c>
      <c r="K30" s="1">
        <v>44910</v>
      </c>
      <c r="L30" s="1">
        <v>44440</v>
      </c>
      <c r="M30" t="s">
        <v>35</v>
      </c>
      <c r="O30">
        <v>0</v>
      </c>
      <c r="P30" t="s">
        <v>36</v>
      </c>
      <c r="Q30" t="s">
        <v>71</v>
      </c>
      <c r="R30" s="2">
        <v>0</v>
      </c>
      <c r="S30" s="2">
        <v>0</v>
      </c>
      <c r="T30" s="2">
        <v>0</v>
      </c>
      <c r="U30" s="2">
        <v>0</v>
      </c>
      <c r="V30" s="2">
        <v>0</v>
      </c>
      <c r="W30" s="2">
        <v>0</v>
      </c>
      <c r="X30" s="2">
        <v>0</v>
      </c>
      <c r="Y30" s="2">
        <v>0</v>
      </c>
      <c r="Z30" s="2">
        <v>0</v>
      </c>
      <c r="AA30" s="2">
        <v>0</v>
      </c>
      <c r="AB30" s="2">
        <v>0</v>
      </c>
      <c r="AC30" s="2">
        <v>0</v>
      </c>
      <c r="AD30" s="2">
        <v>0</v>
      </c>
    </row>
    <row r="31" spans="1:30" x14ac:dyDescent="0.35">
      <c r="A31" t="s">
        <v>88</v>
      </c>
      <c r="B31" t="s">
        <v>372</v>
      </c>
      <c r="C31" t="s">
        <v>31</v>
      </c>
      <c r="D31" s="23" t="s">
        <v>2448</v>
      </c>
      <c r="E31" s="1">
        <v>44901</v>
      </c>
      <c r="F31" s="3">
        <v>2022</v>
      </c>
      <c r="G31" s="1">
        <v>44904</v>
      </c>
      <c r="H31" t="s">
        <v>138</v>
      </c>
      <c r="I31" t="s">
        <v>373</v>
      </c>
      <c r="J31" t="s">
        <v>40</v>
      </c>
      <c r="K31" s="1">
        <v>45274</v>
      </c>
      <c r="L31" s="1">
        <v>44901</v>
      </c>
      <c r="M31" s="1">
        <v>45274</v>
      </c>
      <c r="O31">
        <v>248</v>
      </c>
      <c r="P31" t="s">
        <v>64</v>
      </c>
      <c r="Q31" t="s">
        <v>81</v>
      </c>
      <c r="R31" s="2">
        <v>8300.89</v>
      </c>
      <c r="S31" s="2">
        <v>21292.57</v>
      </c>
      <c r="T31" s="2">
        <v>3800.66</v>
      </c>
      <c r="U31" s="2">
        <v>33394.120000000003</v>
      </c>
      <c r="V31" s="2">
        <v>8300.89</v>
      </c>
      <c r="W31" s="2">
        <v>21292.57</v>
      </c>
      <c r="X31" s="2">
        <v>3800.66</v>
      </c>
      <c r="Y31" s="2">
        <v>33394.120000000003</v>
      </c>
      <c r="Z31" s="2">
        <v>0</v>
      </c>
      <c r="AA31" s="2">
        <v>0</v>
      </c>
      <c r="AB31" s="2">
        <v>0</v>
      </c>
      <c r="AC31" s="2">
        <v>0</v>
      </c>
      <c r="AD31" s="2">
        <v>-83.51</v>
      </c>
    </row>
    <row r="32" spans="1:30" x14ac:dyDescent="0.35">
      <c r="A32" t="s">
        <v>38</v>
      </c>
      <c r="B32" t="s">
        <v>178</v>
      </c>
      <c r="C32" t="s">
        <v>31</v>
      </c>
      <c r="D32" s="23" t="s">
        <v>2448</v>
      </c>
      <c r="E32" s="1">
        <v>44903</v>
      </c>
      <c r="F32" s="3">
        <v>2022</v>
      </c>
      <c r="G32" s="1">
        <v>44904</v>
      </c>
      <c r="H32" t="s">
        <v>179</v>
      </c>
      <c r="I32" t="s">
        <v>51</v>
      </c>
      <c r="J32" t="s">
        <v>117</v>
      </c>
      <c r="K32" s="1">
        <v>44949</v>
      </c>
      <c r="L32" s="1">
        <v>41827</v>
      </c>
      <c r="M32" t="s">
        <v>35</v>
      </c>
      <c r="O32">
        <v>0</v>
      </c>
      <c r="P32" t="s">
        <v>118</v>
      </c>
      <c r="Q32" t="s">
        <v>117</v>
      </c>
      <c r="R32" s="2">
        <v>682.04</v>
      </c>
      <c r="S32" s="2">
        <v>0</v>
      </c>
      <c r="T32" s="2">
        <v>30.57</v>
      </c>
      <c r="U32" s="2">
        <v>712.61</v>
      </c>
      <c r="V32" s="2">
        <v>682.04</v>
      </c>
      <c r="W32" s="2">
        <v>0</v>
      </c>
      <c r="X32" s="2">
        <v>30.57</v>
      </c>
      <c r="Y32" s="2">
        <v>712.61</v>
      </c>
      <c r="Z32" s="2">
        <v>0</v>
      </c>
      <c r="AA32" s="2">
        <v>0</v>
      </c>
      <c r="AB32" s="2">
        <v>0</v>
      </c>
      <c r="AC32" s="2">
        <v>0</v>
      </c>
      <c r="AD32" s="2">
        <v>0</v>
      </c>
    </row>
    <row r="33" spans="1:30" x14ac:dyDescent="0.35">
      <c r="A33" t="s">
        <v>82</v>
      </c>
      <c r="B33" t="s">
        <v>504</v>
      </c>
      <c r="C33" t="s">
        <v>31</v>
      </c>
      <c r="D33" s="23" t="s">
        <v>2448</v>
      </c>
      <c r="E33" s="1">
        <v>44908</v>
      </c>
      <c r="F33" s="3">
        <v>2022</v>
      </c>
      <c r="G33" s="1">
        <v>44917</v>
      </c>
      <c r="H33" t="s">
        <v>115</v>
      </c>
      <c r="I33" t="s">
        <v>505</v>
      </c>
      <c r="J33" t="s">
        <v>200</v>
      </c>
      <c r="K33" s="1">
        <v>45322</v>
      </c>
      <c r="L33" s="1">
        <v>44697</v>
      </c>
      <c r="M33" t="s">
        <v>35</v>
      </c>
      <c r="O33">
        <v>0</v>
      </c>
      <c r="P33" t="s">
        <v>36</v>
      </c>
      <c r="Q33" t="s">
        <v>159</v>
      </c>
      <c r="R33" s="2">
        <v>1240.8499999999999</v>
      </c>
      <c r="S33" s="2">
        <v>0</v>
      </c>
      <c r="T33" s="2">
        <v>906.36</v>
      </c>
      <c r="U33" s="2">
        <v>2147.21</v>
      </c>
      <c r="V33" s="2">
        <v>1240.8499999999999</v>
      </c>
      <c r="W33" s="2">
        <v>0</v>
      </c>
      <c r="X33" s="2">
        <v>906.36</v>
      </c>
      <c r="Y33" s="2">
        <v>2147.21</v>
      </c>
      <c r="Z33" s="2">
        <v>0</v>
      </c>
      <c r="AA33" s="2">
        <v>0</v>
      </c>
      <c r="AB33" s="2">
        <v>0</v>
      </c>
      <c r="AC33" s="2">
        <v>0</v>
      </c>
      <c r="AD33" s="2">
        <v>0</v>
      </c>
    </row>
    <row r="34" spans="1:30" x14ac:dyDescent="0.35">
      <c r="A34" t="s">
        <v>171</v>
      </c>
      <c r="B34" t="s">
        <v>172</v>
      </c>
      <c r="C34" t="s">
        <v>31</v>
      </c>
      <c r="D34" s="23" t="s">
        <v>2448</v>
      </c>
      <c r="E34" s="1">
        <v>44909</v>
      </c>
      <c r="F34" s="3">
        <v>2022</v>
      </c>
      <c r="G34" s="1">
        <v>44909</v>
      </c>
      <c r="H34" t="s">
        <v>168</v>
      </c>
      <c r="I34" t="s">
        <v>169</v>
      </c>
      <c r="J34" t="s">
        <v>173</v>
      </c>
      <c r="K34" s="1">
        <v>44939</v>
      </c>
      <c r="L34" s="1">
        <v>44909</v>
      </c>
      <c r="M34" t="s">
        <v>35</v>
      </c>
      <c r="O34">
        <v>0</v>
      </c>
      <c r="P34" t="s">
        <v>75</v>
      </c>
      <c r="Q34" t="s">
        <v>174</v>
      </c>
      <c r="R34" s="2">
        <v>0</v>
      </c>
      <c r="S34" s="2">
        <v>0</v>
      </c>
      <c r="T34" s="2">
        <v>0</v>
      </c>
      <c r="U34" s="2">
        <v>0</v>
      </c>
      <c r="V34" s="2">
        <v>0</v>
      </c>
      <c r="W34" s="2">
        <v>0</v>
      </c>
      <c r="X34" s="2">
        <v>0</v>
      </c>
      <c r="Y34" s="2">
        <v>0</v>
      </c>
      <c r="Z34" s="2">
        <v>0</v>
      </c>
      <c r="AA34" s="2">
        <v>0</v>
      </c>
      <c r="AB34" s="2">
        <v>0</v>
      </c>
      <c r="AC34" s="2">
        <v>0</v>
      </c>
      <c r="AD34" s="2">
        <v>0</v>
      </c>
    </row>
    <row r="35" spans="1:30" x14ac:dyDescent="0.35">
      <c r="A35" t="s">
        <v>38</v>
      </c>
      <c r="B35" t="s">
        <v>147</v>
      </c>
      <c r="C35" t="s">
        <v>31</v>
      </c>
      <c r="D35" s="23" t="s">
        <v>2448</v>
      </c>
      <c r="E35" s="1">
        <v>44911</v>
      </c>
      <c r="F35" s="3">
        <v>2022</v>
      </c>
      <c r="G35" s="1">
        <v>44938</v>
      </c>
      <c r="H35" t="s">
        <v>148</v>
      </c>
      <c r="I35" t="s">
        <v>69</v>
      </c>
      <c r="J35" t="s">
        <v>149</v>
      </c>
      <c r="K35" t="s">
        <v>35</v>
      </c>
      <c r="L35" s="1">
        <v>44911</v>
      </c>
      <c r="M35" t="s">
        <v>35</v>
      </c>
      <c r="O35">
        <v>0</v>
      </c>
      <c r="P35" t="s">
        <v>150</v>
      </c>
      <c r="Q35" t="s">
        <v>151</v>
      </c>
      <c r="R35" s="2">
        <v>550.41999999999996</v>
      </c>
      <c r="S35" s="2">
        <v>0</v>
      </c>
      <c r="T35" s="2">
        <v>25.2</v>
      </c>
      <c r="U35" s="2">
        <v>575.62</v>
      </c>
      <c r="V35" s="2">
        <v>550.41999999999996</v>
      </c>
      <c r="W35" s="2">
        <v>0</v>
      </c>
      <c r="X35" s="2">
        <v>25.2</v>
      </c>
      <c r="Y35" s="2">
        <v>575.62</v>
      </c>
      <c r="Z35" s="2">
        <v>0</v>
      </c>
      <c r="AA35" s="2">
        <v>0</v>
      </c>
      <c r="AB35" s="2">
        <v>0</v>
      </c>
      <c r="AC35" s="2">
        <v>0</v>
      </c>
      <c r="AD35" s="2">
        <v>0</v>
      </c>
    </row>
    <row r="36" spans="1:30" x14ac:dyDescent="0.35">
      <c r="A36" t="s">
        <v>134</v>
      </c>
      <c r="B36" t="s">
        <v>337</v>
      </c>
      <c r="C36" t="s">
        <v>31</v>
      </c>
      <c r="D36" s="23" t="s">
        <v>2448</v>
      </c>
      <c r="E36" s="1">
        <v>44932</v>
      </c>
      <c r="F36" s="3">
        <v>2022</v>
      </c>
      <c r="G36" s="1">
        <v>44936</v>
      </c>
      <c r="H36" t="s">
        <v>32</v>
      </c>
      <c r="I36" t="s">
        <v>33</v>
      </c>
      <c r="J36" t="s">
        <v>40</v>
      </c>
      <c r="K36" s="1">
        <v>45049</v>
      </c>
      <c r="L36" s="1">
        <v>44932</v>
      </c>
      <c r="M36" t="s">
        <v>35</v>
      </c>
      <c r="O36">
        <v>0</v>
      </c>
      <c r="P36" t="s">
        <v>36</v>
      </c>
      <c r="Q36" t="s">
        <v>93</v>
      </c>
      <c r="R36" s="2">
        <v>197.47</v>
      </c>
      <c r="S36" s="2">
        <v>0</v>
      </c>
      <c r="T36" s="2">
        <v>59.33</v>
      </c>
      <c r="U36" s="2">
        <v>256.8</v>
      </c>
      <c r="V36" s="2">
        <v>197.47</v>
      </c>
      <c r="W36" s="2">
        <v>0</v>
      </c>
      <c r="X36" s="2">
        <v>59.33</v>
      </c>
      <c r="Y36" s="2">
        <v>256.8</v>
      </c>
      <c r="Z36" s="2">
        <v>0</v>
      </c>
      <c r="AA36" s="2">
        <v>0</v>
      </c>
      <c r="AB36" s="2">
        <v>0</v>
      </c>
      <c r="AC36" s="2">
        <v>0</v>
      </c>
      <c r="AD36" s="2">
        <v>0</v>
      </c>
    </row>
    <row r="37" spans="1:30" x14ac:dyDescent="0.35">
      <c r="A37" t="s">
        <v>38</v>
      </c>
      <c r="B37" t="s">
        <v>318</v>
      </c>
      <c r="C37" t="s">
        <v>31</v>
      </c>
      <c r="D37" s="23" t="s">
        <v>2448</v>
      </c>
      <c r="E37" s="1">
        <v>44939</v>
      </c>
      <c r="F37" s="3">
        <v>2022</v>
      </c>
      <c r="G37" s="1">
        <v>44942</v>
      </c>
      <c r="H37" t="s">
        <v>144</v>
      </c>
      <c r="I37" t="s">
        <v>121</v>
      </c>
      <c r="J37" t="s">
        <v>34</v>
      </c>
      <c r="K37" s="1">
        <v>45007</v>
      </c>
      <c r="L37" s="1">
        <v>41730</v>
      </c>
      <c r="M37" t="s">
        <v>35</v>
      </c>
      <c r="O37">
        <v>0</v>
      </c>
      <c r="P37" t="s">
        <v>64</v>
      </c>
      <c r="Q37" t="s">
        <v>126</v>
      </c>
      <c r="R37" s="2">
        <v>261.81</v>
      </c>
      <c r="S37" s="2">
        <v>0</v>
      </c>
      <c r="T37" s="2">
        <v>12.43</v>
      </c>
      <c r="U37" s="2">
        <v>274.24</v>
      </c>
      <c r="V37" s="2">
        <v>261.81</v>
      </c>
      <c r="W37" s="2">
        <v>0</v>
      </c>
      <c r="X37" s="2">
        <v>12.43</v>
      </c>
      <c r="Y37" s="2">
        <v>274.24</v>
      </c>
      <c r="Z37" s="2">
        <v>0</v>
      </c>
      <c r="AA37" s="2">
        <v>0</v>
      </c>
      <c r="AB37" s="2">
        <v>0</v>
      </c>
      <c r="AC37" s="2">
        <v>0</v>
      </c>
      <c r="AD37" s="2">
        <v>0</v>
      </c>
    </row>
    <row r="38" spans="1:30" x14ac:dyDescent="0.35">
      <c r="A38" t="s">
        <v>38</v>
      </c>
      <c r="B38" t="s">
        <v>368</v>
      </c>
      <c r="C38" t="s">
        <v>31</v>
      </c>
      <c r="D38" s="23" t="s">
        <v>2448</v>
      </c>
      <c r="E38" s="1">
        <v>44939</v>
      </c>
      <c r="F38" s="3">
        <v>2022</v>
      </c>
      <c r="G38" s="1">
        <v>44942</v>
      </c>
      <c r="H38" t="s">
        <v>144</v>
      </c>
      <c r="I38" t="s">
        <v>121</v>
      </c>
      <c r="J38" t="s">
        <v>128</v>
      </c>
      <c r="K38" s="1">
        <v>44949</v>
      </c>
      <c r="L38" s="1">
        <v>44732</v>
      </c>
      <c r="M38" t="s">
        <v>35</v>
      </c>
      <c r="O38">
        <v>0</v>
      </c>
      <c r="P38" t="s">
        <v>64</v>
      </c>
      <c r="Q38" t="s">
        <v>123</v>
      </c>
      <c r="R38" s="2">
        <v>515.87</v>
      </c>
      <c r="S38" s="2">
        <v>0</v>
      </c>
      <c r="T38" s="2">
        <v>8.15</v>
      </c>
      <c r="U38" s="2">
        <v>524.02</v>
      </c>
      <c r="V38" s="2">
        <v>515.87</v>
      </c>
      <c r="W38" s="2">
        <v>0</v>
      </c>
      <c r="X38" s="2">
        <v>8.15</v>
      </c>
      <c r="Y38" s="2">
        <v>524.02</v>
      </c>
      <c r="Z38" s="2">
        <v>0</v>
      </c>
      <c r="AA38" s="2">
        <v>0</v>
      </c>
      <c r="AB38" s="2">
        <v>0</v>
      </c>
      <c r="AC38" s="2">
        <v>0</v>
      </c>
      <c r="AD38" s="2">
        <v>0</v>
      </c>
    </row>
    <row r="39" spans="1:30" x14ac:dyDescent="0.35">
      <c r="A39" t="s">
        <v>265</v>
      </c>
      <c r="B39" t="s">
        <v>464</v>
      </c>
      <c r="C39" t="s">
        <v>31</v>
      </c>
      <c r="D39" s="23" t="s">
        <v>2448</v>
      </c>
      <c r="E39" s="1">
        <v>44942</v>
      </c>
      <c r="F39" s="3">
        <v>2022</v>
      </c>
      <c r="G39" s="1">
        <v>44945</v>
      </c>
      <c r="H39" t="s">
        <v>97</v>
      </c>
      <c r="I39" t="s">
        <v>98</v>
      </c>
      <c r="J39" t="s">
        <v>342</v>
      </c>
      <c r="K39" s="1">
        <v>45079</v>
      </c>
      <c r="L39" s="1">
        <v>44474</v>
      </c>
      <c r="M39" t="s">
        <v>35</v>
      </c>
      <c r="O39">
        <v>0</v>
      </c>
      <c r="P39" t="s">
        <v>64</v>
      </c>
      <c r="Q39" t="s">
        <v>108</v>
      </c>
      <c r="R39" s="2">
        <v>1908.4</v>
      </c>
      <c r="S39" s="2">
        <v>0</v>
      </c>
      <c r="T39" s="2">
        <v>255.55</v>
      </c>
      <c r="U39" s="2">
        <v>2163.9499999999998</v>
      </c>
      <c r="V39" s="2">
        <v>1908.4</v>
      </c>
      <c r="W39" s="2">
        <v>0</v>
      </c>
      <c r="X39" s="2">
        <v>255.55</v>
      </c>
      <c r="Y39" s="2">
        <v>2163.9499999999998</v>
      </c>
      <c r="Z39" s="2">
        <v>0</v>
      </c>
      <c r="AA39" s="2">
        <v>0</v>
      </c>
      <c r="AB39" s="2">
        <v>0</v>
      </c>
      <c r="AC39" s="2">
        <v>0</v>
      </c>
      <c r="AD39" s="2">
        <v>0</v>
      </c>
    </row>
    <row r="40" spans="1:30" x14ac:dyDescent="0.35">
      <c r="A40" t="s">
        <v>99</v>
      </c>
      <c r="B40" t="s">
        <v>295</v>
      </c>
      <c r="C40" t="s">
        <v>31</v>
      </c>
      <c r="D40" s="23" t="s">
        <v>2448</v>
      </c>
      <c r="E40" s="1">
        <v>44946</v>
      </c>
      <c r="F40" s="3">
        <v>2022</v>
      </c>
      <c r="G40" s="1">
        <v>45093</v>
      </c>
      <c r="H40" t="s">
        <v>296</v>
      </c>
      <c r="I40" t="s">
        <v>45</v>
      </c>
      <c r="J40" t="s">
        <v>297</v>
      </c>
      <c r="K40" s="1">
        <v>45100</v>
      </c>
      <c r="L40" s="1">
        <v>44623</v>
      </c>
      <c r="M40" t="s">
        <v>35</v>
      </c>
      <c r="O40">
        <v>0</v>
      </c>
      <c r="P40" t="s">
        <v>36</v>
      </c>
      <c r="Q40" t="s">
        <v>108</v>
      </c>
      <c r="R40" s="2">
        <v>930.47</v>
      </c>
      <c r="S40" s="2">
        <v>0</v>
      </c>
      <c r="T40" s="2">
        <v>1828.58</v>
      </c>
      <c r="U40" s="2">
        <v>2759.05</v>
      </c>
      <c r="V40" s="2">
        <v>930.47</v>
      </c>
      <c r="W40" s="2">
        <v>0</v>
      </c>
      <c r="X40" s="2">
        <v>1828.58</v>
      </c>
      <c r="Y40" s="2">
        <v>2759.05</v>
      </c>
      <c r="Z40" s="2">
        <v>0</v>
      </c>
      <c r="AA40" s="2">
        <v>0</v>
      </c>
      <c r="AB40" s="2">
        <v>0</v>
      </c>
      <c r="AC40" s="2">
        <v>0</v>
      </c>
      <c r="AD40" s="2">
        <v>0</v>
      </c>
    </row>
    <row r="41" spans="1:30" x14ac:dyDescent="0.35">
      <c r="A41" t="s">
        <v>82</v>
      </c>
      <c r="B41" t="s">
        <v>341</v>
      </c>
      <c r="C41" t="s">
        <v>31</v>
      </c>
      <c r="D41" s="23" t="s">
        <v>2448</v>
      </c>
      <c r="E41" s="1">
        <v>44953</v>
      </c>
      <c r="F41" s="3">
        <v>2022</v>
      </c>
      <c r="G41" s="1">
        <v>44957</v>
      </c>
      <c r="H41" t="s">
        <v>61</v>
      </c>
      <c r="I41" t="s">
        <v>62</v>
      </c>
      <c r="J41" t="s">
        <v>342</v>
      </c>
      <c r="K41" s="1">
        <v>44980</v>
      </c>
      <c r="L41" s="1">
        <v>44953</v>
      </c>
      <c r="M41" s="1">
        <v>44979</v>
      </c>
      <c r="O41">
        <v>0</v>
      </c>
      <c r="P41" t="s">
        <v>64</v>
      </c>
      <c r="Q41" t="s">
        <v>93</v>
      </c>
      <c r="R41" s="2">
        <v>1126.81</v>
      </c>
      <c r="S41" s="2">
        <v>0</v>
      </c>
      <c r="T41" s="2">
        <v>116.83</v>
      </c>
      <c r="U41" s="2">
        <v>1243.6400000000001</v>
      </c>
      <c r="V41" s="2">
        <v>1126.81</v>
      </c>
      <c r="W41" s="2">
        <v>0</v>
      </c>
      <c r="X41" s="2">
        <v>116.83</v>
      </c>
      <c r="Y41" s="2">
        <v>1243.6400000000001</v>
      </c>
      <c r="Z41" s="2">
        <v>0</v>
      </c>
      <c r="AA41" s="2">
        <v>0</v>
      </c>
      <c r="AB41" s="2">
        <v>0</v>
      </c>
      <c r="AC41" s="2">
        <v>0</v>
      </c>
      <c r="AD41" s="2">
        <v>0</v>
      </c>
    </row>
    <row r="42" spans="1:30" x14ac:dyDescent="0.35">
      <c r="A42" t="s">
        <v>82</v>
      </c>
      <c r="B42" t="s">
        <v>457</v>
      </c>
      <c r="C42" t="s">
        <v>31</v>
      </c>
      <c r="D42" s="23" t="s">
        <v>2448</v>
      </c>
      <c r="E42" s="1">
        <v>44958</v>
      </c>
      <c r="F42" s="3">
        <v>2022</v>
      </c>
      <c r="G42" s="1">
        <v>44959</v>
      </c>
      <c r="H42" t="s">
        <v>84</v>
      </c>
      <c r="I42" t="s">
        <v>85</v>
      </c>
      <c r="J42" t="s">
        <v>458</v>
      </c>
      <c r="K42" s="1">
        <v>44991</v>
      </c>
      <c r="L42" s="1">
        <v>44102</v>
      </c>
      <c r="M42" t="s">
        <v>35</v>
      </c>
      <c r="O42">
        <v>0</v>
      </c>
      <c r="P42" t="s">
        <v>36</v>
      </c>
      <c r="Q42" t="s">
        <v>93</v>
      </c>
      <c r="R42" s="2">
        <v>1074.3499999999999</v>
      </c>
      <c r="S42" s="2">
        <v>0</v>
      </c>
      <c r="T42" s="2">
        <v>33.04</v>
      </c>
      <c r="U42" s="2">
        <v>1107.3900000000001</v>
      </c>
      <c r="V42" s="2">
        <v>1074.3499999999999</v>
      </c>
      <c r="W42" s="2">
        <v>0</v>
      </c>
      <c r="X42" s="2">
        <v>33.04</v>
      </c>
      <c r="Y42" s="2">
        <v>1107.3900000000001</v>
      </c>
      <c r="Z42" s="2">
        <v>0</v>
      </c>
      <c r="AA42" s="2">
        <v>0</v>
      </c>
      <c r="AB42" s="2">
        <v>0</v>
      </c>
      <c r="AC42" s="2">
        <v>0</v>
      </c>
      <c r="AD42" s="2">
        <v>0</v>
      </c>
    </row>
    <row r="43" spans="1:30" x14ac:dyDescent="0.35">
      <c r="A43" t="s">
        <v>38</v>
      </c>
      <c r="B43" t="s">
        <v>278</v>
      </c>
      <c r="C43" t="s">
        <v>31</v>
      </c>
      <c r="D43" s="23" t="s">
        <v>2448</v>
      </c>
      <c r="E43" s="1">
        <v>44977</v>
      </c>
      <c r="F43" s="3">
        <v>2022</v>
      </c>
      <c r="G43" s="1">
        <v>44977</v>
      </c>
      <c r="H43" t="s">
        <v>84</v>
      </c>
      <c r="I43" t="s">
        <v>85</v>
      </c>
      <c r="J43" t="s">
        <v>46</v>
      </c>
      <c r="K43" s="1">
        <v>44998</v>
      </c>
      <c r="L43" s="1">
        <v>43765</v>
      </c>
      <c r="M43" t="s">
        <v>35</v>
      </c>
      <c r="O43">
        <v>0</v>
      </c>
      <c r="P43" t="s">
        <v>47</v>
      </c>
      <c r="Q43" t="s">
        <v>53</v>
      </c>
      <c r="R43" s="2">
        <v>330.57</v>
      </c>
      <c r="S43" s="2">
        <v>0</v>
      </c>
      <c r="T43" s="2">
        <v>176.4</v>
      </c>
      <c r="U43" s="2">
        <v>506.97</v>
      </c>
      <c r="V43" s="2">
        <v>330.57</v>
      </c>
      <c r="W43" s="2">
        <v>0</v>
      </c>
      <c r="X43" s="2">
        <v>176.4</v>
      </c>
      <c r="Y43" s="2">
        <v>506.97</v>
      </c>
      <c r="Z43" s="2">
        <v>0</v>
      </c>
      <c r="AA43" s="2">
        <v>0</v>
      </c>
      <c r="AB43" s="2">
        <v>0</v>
      </c>
      <c r="AC43" s="2">
        <v>0</v>
      </c>
      <c r="AD43" s="2">
        <v>0</v>
      </c>
    </row>
    <row r="44" spans="1:30" x14ac:dyDescent="0.35">
      <c r="A44" t="s">
        <v>90</v>
      </c>
      <c r="B44" t="s">
        <v>250</v>
      </c>
      <c r="C44" t="s">
        <v>31</v>
      </c>
      <c r="D44" s="23" t="s">
        <v>2448</v>
      </c>
      <c r="E44" s="1">
        <v>44980</v>
      </c>
      <c r="F44" s="3">
        <v>2022</v>
      </c>
      <c r="G44" s="1">
        <v>44986</v>
      </c>
      <c r="H44" t="s">
        <v>182</v>
      </c>
      <c r="I44" t="s">
        <v>223</v>
      </c>
      <c r="J44" t="s">
        <v>251</v>
      </c>
      <c r="K44" s="1">
        <v>45805</v>
      </c>
      <c r="L44" s="1">
        <v>42859</v>
      </c>
      <c r="M44" s="1">
        <v>44993</v>
      </c>
      <c r="N44" t="s">
        <v>58</v>
      </c>
      <c r="O44">
        <v>0</v>
      </c>
      <c r="P44" t="s">
        <v>36</v>
      </c>
      <c r="Q44" t="s">
        <v>76</v>
      </c>
      <c r="R44" s="2">
        <v>4872.57</v>
      </c>
      <c r="S44" s="2">
        <v>655.59</v>
      </c>
      <c r="T44" s="2">
        <v>4031.23</v>
      </c>
      <c r="U44" s="2">
        <v>9559.39</v>
      </c>
      <c r="V44" s="2">
        <v>4872.57</v>
      </c>
      <c r="W44" s="2">
        <v>655.59</v>
      </c>
      <c r="X44" s="2">
        <v>4031.23</v>
      </c>
      <c r="Y44" s="2">
        <v>9559.39</v>
      </c>
      <c r="Z44" s="2">
        <v>0</v>
      </c>
      <c r="AA44" s="2">
        <v>0</v>
      </c>
      <c r="AB44" s="2">
        <v>0</v>
      </c>
      <c r="AC44" s="2">
        <v>0</v>
      </c>
      <c r="AD44" s="2">
        <v>-6059.2</v>
      </c>
    </row>
    <row r="45" spans="1:30" x14ac:dyDescent="0.35">
      <c r="A45" t="s">
        <v>88</v>
      </c>
      <c r="B45" t="s">
        <v>248</v>
      </c>
      <c r="C45" t="s">
        <v>31</v>
      </c>
      <c r="D45" s="23" t="s">
        <v>2448</v>
      </c>
      <c r="E45" s="1">
        <v>44981</v>
      </c>
      <c r="F45" s="3">
        <v>2022</v>
      </c>
      <c r="G45" s="1">
        <v>45139</v>
      </c>
      <c r="H45" t="s">
        <v>249</v>
      </c>
      <c r="I45" t="s">
        <v>85</v>
      </c>
      <c r="J45" t="s">
        <v>170</v>
      </c>
      <c r="K45" s="1">
        <v>45142</v>
      </c>
      <c r="L45" s="1">
        <v>44529</v>
      </c>
      <c r="M45" t="s">
        <v>35</v>
      </c>
      <c r="O45">
        <v>0</v>
      </c>
      <c r="P45" t="s">
        <v>41</v>
      </c>
      <c r="Q45" t="s">
        <v>42</v>
      </c>
      <c r="R45" s="2">
        <v>0</v>
      </c>
      <c r="S45" s="2">
        <v>0</v>
      </c>
      <c r="T45" s="2">
        <v>0</v>
      </c>
      <c r="U45" s="2">
        <v>0</v>
      </c>
      <c r="V45" s="2">
        <v>0</v>
      </c>
      <c r="W45" s="2">
        <v>0</v>
      </c>
      <c r="X45" s="2">
        <v>0</v>
      </c>
      <c r="Y45" s="2">
        <v>0</v>
      </c>
      <c r="Z45" s="2">
        <v>0</v>
      </c>
      <c r="AA45" s="2">
        <v>0</v>
      </c>
      <c r="AB45" s="2">
        <v>0</v>
      </c>
      <c r="AC45" s="2">
        <v>0</v>
      </c>
      <c r="AD45" s="2">
        <v>0</v>
      </c>
    </row>
    <row r="46" spans="1:30" x14ac:dyDescent="0.35">
      <c r="A46" t="s">
        <v>38</v>
      </c>
      <c r="B46" t="s">
        <v>423</v>
      </c>
      <c r="C46" t="s">
        <v>31</v>
      </c>
      <c r="D46" s="23" t="s">
        <v>2448</v>
      </c>
      <c r="E46" s="1">
        <v>44988</v>
      </c>
      <c r="F46" s="3">
        <v>2022</v>
      </c>
      <c r="G46" s="1">
        <v>45026</v>
      </c>
      <c r="H46" t="s">
        <v>385</v>
      </c>
      <c r="I46" t="s">
        <v>51</v>
      </c>
      <c r="J46" t="s">
        <v>339</v>
      </c>
      <c r="K46" t="s">
        <v>35</v>
      </c>
      <c r="L46" s="1">
        <v>40394</v>
      </c>
      <c r="M46" t="s">
        <v>35</v>
      </c>
      <c r="O46">
        <v>0</v>
      </c>
      <c r="P46" t="s">
        <v>47</v>
      </c>
      <c r="Q46" t="s">
        <v>48</v>
      </c>
      <c r="R46" s="2">
        <v>879.9</v>
      </c>
      <c r="S46" s="2">
        <v>0</v>
      </c>
      <c r="T46" s="2">
        <v>30.8</v>
      </c>
      <c r="U46" s="2">
        <v>910.7</v>
      </c>
      <c r="V46" s="2">
        <v>879.9</v>
      </c>
      <c r="W46" s="2">
        <v>0</v>
      </c>
      <c r="X46" s="2">
        <v>30.8</v>
      </c>
      <c r="Y46" s="2">
        <v>910.7</v>
      </c>
      <c r="Z46" s="2">
        <v>0</v>
      </c>
      <c r="AA46" s="2">
        <v>0</v>
      </c>
      <c r="AB46" s="2">
        <v>0</v>
      </c>
      <c r="AC46" s="2">
        <v>0</v>
      </c>
      <c r="AD46" s="2">
        <v>0</v>
      </c>
    </row>
    <row r="47" spans="1:30" x14ac:dyDescent="0.35">
      <c r="A47" t="s">
        <v>265</v>
      </c>
      <c r="B47" t="s">
        <v>347</v>
      </c>
      <c r="C47" t="s">
        <v>31</v>
      </c>
      <c r="D47" s="23" t="s">
        <v>2448</v>
      </c>
      <c r="E47" s="1">
        <v>44998</v>
      </c>
      <c r="F47" s="3">
        <v>2022</v>
      </c>
      <c r="G47" s="1">
        <v>45000</v>
      </c>
      <c r="H47" t="s">
        <v>32</v>
      </c>
      <c r="I47" t="s">
        <v>33</v>
      </c>
      <c r="J47" t="s">
        <v>348</v>
      </c>
      <c r="K47" s="1">
        <v>45008</v>
      </c>
      <c r="L47" s="1">
        <v>44998</v>
      </c>
      <c r="M47" s="1">
        <v>45007</v>
      </c>
      <c r="O47">
        <v>0</v>
      </c>
      <c r="P47" t="s">
        <v>64</v>
      </c>
      <c r="Q47" t="s">
        <v>126</v>
      </c>
      <c r="R47" s="2">
        <v>87.24</v>
      </c>
      <c r="S47" s="2">
        <v>0</v>
      </c>
      <c r="T47" s="2">
        <v>70.599999999999994</v>
      </c>
      <c r="U47" s="2">
        <v>157.84</v>
      </c>
      <c r="V47" s="2">
        <v>87.24</v>
      </c>
      <c r="W47" s="2">
        <v>0</v>
      </c>
      <c r="X47" s="2">
        <v>70.599999999999994</v>
      </c>
      <c r="Y47" s="2">
        <v>157.84</v>
      </c>
      <c r="Z47" s="2">
        <v>0</v>
      </c>
      <c r="AA47" s="2">
        <v>0</v>
      </c>
      <c r="AB47" s="2">
        <v>0</v>
      </c>
      <c r="AC47" s="2">
        <v>0</v>
      </c>
      <c r="AD47" s="2">
        <v>0</v>
      </c>
    </row>
    <row r="48" spans="1:30" x14ac:dyDescent="0.35">
      <c r="A48" t="s">
        <v>82</v>
      </c>
      <c r="B48" t="s">
        <v>369</v>
      </c>
      <c r="C48" t="s">
        <v>31</v>
      </c>
      <c r="D48" s="23" t="s">
        <v>2448</v>
      </c>
      <c r="E48" s="1">
        <v>44998</v>
      </c>
      <c r="F48" s="3">
        <v>2022</v>
      </c>
      <c r="G48" s="1">
        <v>45026</v>
      </c>
      <c r="H48" t="s">
        <v>206</v>
      </c>
      <c r="I48" t="s">
        <v>51</v>
      </c>
      <c r="J48" t="s">
        <v>370</v>
      </c>
      <c r="K48" s="1">
        <v>45028</v>
      </c>
      <c r="L48" s="1">
        <v>44998</v>
      </c>
      <c r="M48" t="s">
        <v>35</v>
      </c>
      <c r="O48">
        <v>0</v>
      </c>
      <c r="P48" t="s">
        <v>36</v>
      </c>
      <c r="Q48" t="s">
        <v>93</v>
      </c>
      <c r="R48" s="2">
        <v>556.99</v>
      </c>
      <c r="S48" s="2">
        <v>0</v>
      </c>
      <c r="T48" s="2">
        <v>12.22</v>
      </c>
      <c r="U48" s="2">
        <v>569.21</v>
      </c>
      <c r="V48" s="2">
        <v>556.99</v>
      </c>
      <c r="W48" s="2">
        <v>0</v>
      </c>
      <c r="X48" s="2">
        <v>12.22</v>
      </c>
      <c r="Y48" s="2">
        <v>569.21</v>
      </c>
      <c r="Z48" s="2">
        <v>0</v>
      </c>
      <c r="AA48" s="2">
        <v>0</v>
      </c>
      <c r="AB48" s="2">
        <v>0</v>
      </c>
      <c r="AC48" s="2">
        <v>0</v>
      </c>
      <c r="AD48" s="2">
        <v>0</v>
      </c>
    </row>
    <row r="49" spans="1:30" x14ac:dyDescent="0.35">
      <c r="A49" t="s">
        <v>38</v>
      </c>
      <c r="B49" t="s">
        <v>384</v>
      </c>
      <c r="C49" t="s">
        <v>31</v>
      </c>
      <c r="D49" s="23" t="s">
        <v>2448</v>
      </c>
      <c r="E49" s="1">
        <v>45000</v>
      </c>
      <c r="F49" s="3">
        <v>2022</v>
      </c>
      <c r="G49" s="1">
        <v>45030</v>
      </c>
      <c r="H49" t="s">
        <v>385</v>
      </c>
      <c r="I49" t="s">
        <v>51</v>
      </c>
      <c r="J49" t="s">
        <v>386</v>
      </c>
      <c r="K49" s="1">
        <v>45040</v>
      </c>
      <c r="L49" s="1">
        <v>44655</v>
      </c>
      <c r="M49" t="s">
        <v>35</v>
      </c>
      <c r="O49">
        <v>0</v>
      </c>
      <c r="P49" t="s">
        <v>64</v>
      </c>
      <c r="Q49" t="s">
        <v>280</v>
      </c>
      <c r="R49" s="2">
        <v>236.38</v>
      </c>
      <c r="S49" s="2">
        <v>0</v>
      </c>
      <c r="T49" s="2">
        <v>5.34</v>
      </c>
      <c r="U49" s="2">
        <v>241.72</v>
      </c>
      <c r="V49" s="2">
        <v>236.38</v>
      </c>
      <c r="W49" s="2">
        <v>0</v>
      </c>
      <c r="X49" s="2">
        <v>5.34</v>
      </c>
      <c r="Y49" s="2">
        <v>241.72</v>
      </c>
      <c r="Z49" s="2">
        <v>0</v>
      </c>
      <c r="AA49" s="2">
        <v>0</v>
      </c>
      <c r="AB49" s="2">
        <v>0</v>
      </c>
      <c r="AC49" s="2">
        <v>0</v>
      </c>
      <c r="AD49" s="2">
        <v>0</v>
      </c>
    </row>
    <row r="50" spans="1:30" x14ac:dyDescent="0.35">
      <c r="A50" t="s">
        <v>265</v>
      </c>
      <c r="B50" t="s">
        <v>477</v>
      </c>
      <c r="C50" t="s">
        <v>31</v>
      </c>
      <c r="D50" s="23" t="s">
        <v>2448</v>
      </c>
      <c r="E50" s="1">
        <v>45000</v>
      </c>
      <c r="F50" s="3">
        <v>2022</v>
      </c>
      <c r="G50" s="1">
        <v>45005</v>
      </c>
      <c r="H50" t="s">
        <v>32</v>
      </c>
      <c r="I50" t="s">
        <v>33</v>
      </c>
      <c r="J50" t="s">
        <v>128</v>
      </c>
      <c r="K50" s="1">
        <v>45049</v>
      </c>
      <c r="L50" s="1">
        <v>44550</v>
      </c>
      <c r="M50" t="s">
        <v>35</v>
      </c>
      <c r="O50">
        <v>0</v>
      </c>
      <c r="P50" t="s">
        <v>41</v>
      </c>
      <c r="Q50" t="s">
        <v>42</v>
      </c>
      <c r="R50" s="2">
        <v>773.37</v>
      </c>
      <c r="S50" s="2">
        <v>0</v>
      </c>
      <c r="T50" s="2">
        <v>595.26</v>
      </c>
      <c r="U50" s="2">
        <v>1368.63</v>
      </c>
      <c r="V50" s="2">
        <v>773.37</v>
      </c>
      <c r="W50" s="2">
        <v>0</v>
      </c>
      <c r="X50" s="2">
        <v>595.26</v>
      </c>
      <c r="Y50" s="2">
        <v>1368.63</v>
      </c>
      <c r="Z50" s="2">
        <v>0</v>
      </c>
      <c r="AA50" s="2">
        <v>0</v>
      </c>
      <c r="AB50" s="2">
        <v>0</v>
      </c>
      <c r="AC50" s="2">
        <v>0</v>
      </c>
      <c r="AD50" s="2">
        <v>0</v>
      </c>
    </row>
    <row r="51" spans="1:30" x14ac:dyDescent="0.35">
      <c r="A51" t="s">
        <v>90</v>
      </c>
      <c r="B51" t="s">
        <v>350</v>
      </c>
      <c r="C51" t="s">
        <v>31</v>
      </c>
      <c r="D51" s="23" t="s">
        <v>2448</v>
      </c>
      <c r="E51" s="1">
        <v>45008</v>
      </c>
      <c r="F51" s="3">
        <v>2022</v>
      </c>
      <c r="G51" s="1">
        <v>45019</v>
      </c>
      <c r="H51" t="s">
        <v>182</v>
      </c>
      <c r="I51" t="s">
        <v>33</v>
      </c>
      <c r="J51" t="s">
        <v>92</v>
      </c>
      <c r="K51" s="1">
        <v>45062</v>
      </c>
      <c r="L51" s="1">
        <v>41468</v>
      </c>
      <c r="M51" t="s">
        <v>35</v>
      </c>
      <c r="O51">
        <v>0</v>
      </c>
      <c r="P51" t="s">
        <v>36</v>
      </c>
      <c r="Q51" t="s">
        <v>145</v>
      </c>
      <c r="R51" s="2">
        <v>1612.69</v>
      </c>
      <c r="S51" s="2">
        <v>0</v>
      </c>
      <c r="T51" s="2">
        <v>905.64</v>
      </c>
      <c r="U51" s="2">
        <v>2518.33</v>
      </c>
      <c r="V51" s="2">
        <v>1612.69</v>
      </c>
      <c r="W51" s="2">
        <v>0</v>
      </c>
      <c r="X51" s="2">
        <v>905.64</v>
      </c>
      <c r="Y51" s="2">
        <v>2518.33</v>
      </c>
      <c r="Z51" s="2">
        <v>0</v>
      </c>
      <c r="AA51" s="2">
        <v>0</v>
      </c>
      <c r="AB51" s="2">
        <v>0</v>
      </c>
      <c r="AC51" s="2">
        <v>0</v>
      </c>
      <c r="AD51" s="2">
        <v>0</v>
      </c>
    </row>
    <row r="52" spans="1:30" x14ac:dyDescent="0.35">
      <c r="A52" t="s">
        <v>38</v>
      </c>
      <c r="B52" t="s">
        <v>421</v>
      </c>
      <c r="C52" t="s">
        <v>31</v>
      </c>
      <c r="D52" s="23" t="s">
        <v>2448</v>
      </c>
      <c r="E52" s="1">
        <v>45008</v>
      </c>
      <c r="F52" s="3">
        <v>2022</v>
      </c>
      <c r="G52" s="1">
        <v>45044</v>
      </c>
      <c r="H52" t="s">
        <v>148</v>
      </c>
      <c r="I52" t="s">
        <v>69</v>
      </c>
      <c r="J52" t="s">
        <v>422</v>
      </c>
      <c r="K52" s="1">
        <v>45051</v>
      </c>
      <c r="L52" s="1">
        <v>44986</v>
      </c>
      <c r="M52" t="s">
        <v>35</v>
      </c>
      <c r="O52">
        <v>0</v>
      </c>
      <c r="P52" t="s">
        <v>150</v>
      </c>
      <c r="Q52" t="s">
        <v>151</v>
      </c>
      <c r="R52" s="2">
        <v>446.39</v>
      </c>
      <c r="S52" s="2">
        <v>0</v>
      </c>
      <c r="T52" s="2">
        <v>37.17</v>
      </c>
      <c r="U52" s="2">
        <v>483.56</v>
      </c>
      <c r="V52" s="2">
        <v>446.39</v>
      </c>
      <c r="W52" s="2">
        <v>0</v>
      </c>
      <c r="X52" s="2">
        <v>37.17</v>
      </c>
      <c r="Y52" s="2">
        <v>483.56</v>
      </c>
      <c r="Z52" s="2">
        <v>0</v>
      </c>
      <c r="AA52" s="2">
        <v>0</v>
      </c>
      <c r="AB52" s="2">
        <v>0</v>
      </c>
      <c r="AC52" s="2">
        <v>0</v>
      </c>
      <c r="AD52" s="2">
        <v>0</v>
      </c>
    </row>
    <row r="53" spans="1:30" x14ac:dyDescent="0.35">
      <c r="A53" t="s">
        <v>38</v>
      </c>
      <c r="B53" t="s">
        <v>94</v>
      </c>
      <c r="C53" t="s">
        <v>31</v>
      </c>
      <c r="D53" s="23" t="s">
        <v>2448</v>
      </c>
      <c r="E53" s="1">
        <v>45014</v>
      </c>
      <c r="F53" s="3">
        <v>2022</v>
      </c>
      <c r="G53" s="1">
        <v>45016</v>
      </c>
      <c r="H53" t="s">
        <v>44</v>
      </c>
      <c r="I53" t="s">
        <v>45</v>
      </c>
      <c r="J53" t="s">
        <v>34</v>
      </c>
      <c r="K53" s="1">
        <v>45145</v>
      </c>
      <c r="L53" s="1">
        <v>45014</v>
      </c>
      <c r="M53" t="s">
        <v>35</v>
      </c>
      <c r="O53">
        <v>0</v>
      </c>
      <c r="P53" t="s">
        <v>95</v>
      </c>
      <c r="Q53" t="s">
        <v>53</v>
      </c>
      <c r="R53" s="2">
        <v>1220.5899999999999</v>
      </c>
      <c r="S53" s="2">
        <v>0</v>
      </c>
      <c r="T53" s="2">
        <v>8.11</v>
      </c>
      <c r="U53" s="2">
        <v>1228.7</v>
      </c>
      <c r="V53" s="2">
        <v>1220.5899999999999</v>
      </c>
      <c r="W53" s="2">
        <v>0</v>
      </c>
      <c r="X53" s="2">
        <v>8.11</v>
      </c>
      <c r="Y53" s="2">
        <v>1228.7</v>
      </c>
      <c r="Z53" s="2">
        <v>0</v>
      </c>
      <c r="AA53" s="2">
        <v>0</v>
      </c>
      <c r="AB53" s="2">
        <v>0</v>
      </c>
      <c r="AC53" s="2">
        <v>0</v>
      </c>
      <c r="AD53" s="2">
        <v>0</v>
      </c>
    </row>
    <row r="54" spans="1:30" x14ac:dyDescent="0.35">
      <c r="A54" t="s">
        <v>38</v>
      </c>
      <c r="B54" t="s">
        <v>393</v>
      </c>
      <c r="C54" t="s">
        <v>31</v>
      </c>
      <c r="D54" s="23" t="s">
        <v>2448</v>
      </c>
      <c r="E54" s="1">
        <v>45015</v>
      </c>
      <c r="F54" s="3">
        <v>2022</v>
      </c>
      <c r="G54" s="1">
        <v>45016</v>
      </c>
      <c r="H54" t="s">
        <v>206</v>
      </c>
      <c r="I54" t="s">
        <v>51</v>
      </c>
      <c r="J54" t="s">
        <v>394</v>
      </c>
      <c r="K54" s="1">
        <v>45019</v>
      </c>
      <c r="L54" s="1">
        <v>44697</v>
      </c>
      <c r="M54" t="s">
        <v>35</v>
      </c>
      <c r="O54">
        <v>0</v>
      </c>
      <c r="P54" t="s">
        <v>64</v>
      </c>
      <c r="Q54" t="s">
        <v>123</v>
      </c>
      <c r="R54" s="2">
        <v>298.38</v>
      </c>
      <c r="S54" s="2">
        <v>0</v>
      </c>
      <c r="T54" s="2">
        <v>5.48</v>
      </c>
      <c r="U54" s="2">
        <v>303.86</v>
      </c>
      <c r="V54" s="2">
        <v>298.38</v>
      </c>
      <c r="W54" s="2">
        <v>0</v>
      </c>
      <c r="X54" s="2">
        <v>5.48</v>
      </c>
      <c r="Y54" s="2">
        <v>303.86</v>
      </c>
      <c r="Z54" s="2">
        <v>0</v>
      </c>
      <c r="AA54" s="2">
        <v>0</v>
      </c>
      <c r="AB54" s="2">
        <v>0</v>
      </c>
      <c r="AC54" s="2">
        <v>0</v>
      </c>
      <c r="AD54" s="2">
        <v>0</v>
      </c>
    </row>
    <row r="55" spans="1:30" x14ac:dyDescent="0.35">
      <c r="A55" t="s">
        <v>38</v>
      </c>
      <c r="B55" t="s">
        <v>220</v>
      </c>
      <c r="C55" t="s">
        <v>31</v>
      </c>
      <c r="D55" s="23" t="s">
        <v>2448</v>
      </c>
      <c r="E55" s="1">
        <v>45020</v>
      </c>
      <c r="F55" s="3">
        <v>2022</v>
      </c>
      <c r="G55" s="1">
        <v>45020</v>
      </c>
      <c r="H55" t="s">
        <v>217</v>
      </c>
      <c r="I55" t="s">
        <v>51</v>
      </c>
      <c r="J55" t="s">
        <v>221</v>
      </c>
      <c r="K55" s="1">
        <v>45820</v>
      </c>
      <c r="L55" s="1">
        <v>44084</v>
      </c>
      <c r="M55" s="1">
        <v>45812</v>
      </c>
      <c r="O55">
        <v>0</v>
      </c>
      <c r="P55" t="s">
        <v>156</v>
      </c>
      <c r="Q55" t="s">
        <v>113</v>
      </c>
      <c r="R55" s="2">
        <v>8410.4599999999991</v>
      </c>
      <c r="S55" s="2">
        <v>0</v>
      </c>
      <c r="T55" s="2">
        <v>13104.13</v>
      </c>
      <c r="U55" s="2">
        <v>21514.59</v>
      </c>
      <c r="V55" s="2">
        <v>8410.4599999999991</v>
      </c>
      <c r="W55" s="2">
        <v>0</v>
      </c>
      <c r="X55" s="2">
        <v>13104.13</v>
      </c>
      <c r="Y55" s="2">
        <v>21514.59</v>
      </c>
      <c r="Z55" s="2">
        <v>0</v>
      </c>
      <c r="AA55" s="2">
        <v>0</v>
      </c>
      <c r="AB55" s="2">
        <v>0</v>
      </c>
      <c r="AC55" s="2">
        <v>0</v>
      </c>
      <c r="AD55" s="2">
        <v>0</v>
      </c>
    </row>
    <row r="56" spans="1:30" x14ac:dyDescent="0.35">
      <c r="A56" t="s">
        <v>38</v>
      </c>
      <c r="B56" t="s">
        <v>323</v>
      </c>
      <c r="C56" t="s">
        <v>31</v>
      </c>
      <c r="D56" s="23" t="s">
        <v>2448</v>
      </c>
      <c r="E56" s="1">
        <v>45028</v>
      </c>
      <c r="F56" s="3">
        <v>2022</v>
      </c>
      <c r="G56" s="1">
        <v>45033</v>
      </c>
      <c r="H56" t="s">
        <v>120</v>
      </c>
      <c r="I56" t="s">
        <v>121</v>
      </c>
      <c r="J56" t="s">
        <v>200</v>
      </c>
      <c r="K56" s="1">
        <v>45125</v>
      </c>
      <c r="L56" s="1">
        <v>44935</v>
      </c>
      <c r="M56" t="s">
        <v>35</v>
      </c>
      <c r="O56">
        <v>0</v>
      </c>
      <c r="P56" t="s">
        <v>75</v>
      </c>
      <c r="Q56" t="s">
        <v>53</v>
      </c>
      <c r="R56" s="2">
        <v>1195.73</v>
      </c>
      <c r="S56" s="2">
        <v>0</v>
      </c>
      <c r="T56" s="2">
        <v>60.86</v>
      </c>
      <c r="U56" s="2">
        <v>1256.5899999999999</v>
      </c>
      <c r="V56" s="2">
        <v>1195.73</v>
      </c>
      <c r="W56" s="2">
        <v>0</v>
      </c>
      <c r="X56" s="2">
        <v>60.86</v>
      </c>
      <c r="Y56" s="2">
        <v>1256.5899999999999</v>
      </c>
      <c r="Z56" s="2">
        <v>0</v>
      </c>
      <c r="AA56" s="2">
        <v>0</v>
      </c>
      <c r="AB56" s="2">
        <v>0</v>
      </c>
      <c r="AC56" s="2">
        <v>0</v>
      </c>
      <c r="AD56" s="2">
        <v>0</v>
      </c>
    </row>
    <row r="57" spans="1:30" x14ac:dyDescent="0.35">
      <c r="A57" t="s">
        <v>99</v>
      </c>
      <c r="B57" t="s">
        <v>395</v>
      </c>
      <c r="C57" t="s">
        <v>31</v>
      </c>
      <c r="D57" s="23" t="s">
        <v>2448</v>
      </c>
      <c r="E57" s="1">
        <v>45029</v>
      </c>
      <c r="F57" s="3">
        <v>2022</v>
      </c>
      <c r="G57" s="1">
        <v>45030</v>
      </c>
      <c r="H57" t="s">
        <v>206</v>
      </c>
      <c r="I57" t="s">
        <v>51</v>
      </c>
      <c r="J57" t="s">
        <v>107</v>
      </c>
      <c r="K57" s="1">
        <v>45626</v>
      </c>
      <c r="L57" s="1">
        <v>44697</v>
      </c>
      <c r="M57" t="s">
        <v>35</v>
      </c>
      <c r="N57" t="s">
        <v>58</v>
      </c>
      <c r="O57">
        <v>212</v>
      </c>
      <c r="P57" t="s">
        <v>36</v>
      </c>
      <c r="Q57" t="s">
        <v>65</v>
      </c>
      <c r="R57" s="2">
        <v>21141.15</v>
      </c>
      <c r="S57" s="2">
        <v>99784.79</v>
      </c>
      <c r="T57" s="2">
        <v>19832.259999999998</v>
      </c>
      <c r="U57" s="2">
        <v>140758.20000000001</v>
      </c>
      <c r="V57" s="2">
        <v>21141.15</v>
      </c>
      <c r="W57" s="2">
        <v>99784.79</v>
      </c>
      <c r="X57" s="2">
        <v>19832.259999999998</v>
      </c>
      <c r="Y57" s="2">
        <v>140758.20000000001</v>
      </c>
      <c r="Z57" s="2">
        <v>0</v>
      </c>
      <c r="AA57" s="2">
        <v>0</v>
      </c>
      <c r="AB57" s="2">
        <v>0</v>
      </c>
      <c r="AC57" s="2">
        <v>0</v>
      </c>
      <c r="AD57" s="2">
        <v>0</v>
      </c>
    </row>
    <row r="58" spans="1:30" x14ac:dyDescent="0.35">
      <c r="A58" t="s">
        <v>82</v>
      </c>
      <c r="B58" t="s">
        <v>468</v>
      </c>
      <c r="C58" t="s">
        <v>31</v>
      </c>
      <c r="D58" s="23" t="s">
        <v>2448</v>
      </c>
      <c r="E58" s="1">
        <v>45037</v>
      </c>
      <c r="F58" s="3">
        <v>2022</v>
      </c>
      <c r="G58" s="1">
        <v>45037</v>
      </c>
      <c r="H58" t="s">
        <v>50</v>
      </c>
      <c r="I58" t="s">
        <v>51</v>
      </c>
      <c r="J58" t="s">
        <v>183</v>
      </c>
      <c r="K58" s="1">
        <v>45156</v>
      </c>
      <c r="L58" s="1">
        <v>44256</v>
      </c>
      <c r="M58" t="s">
        <v>35</v>
      </c>
      <c r="O58">
        <v>0</v>
      </c>
      <c r="P58" t="s">
        <v>36</v>
      </c>
      <c r="Q58" t="s">
        <v>87</v>
      </c>
      <c r="R58" s="2">
        <v>1575.68</v>
      </c>
      <c r="S58" s="2">
        <v>0</v>
      </c>
      <c r="T58" s="2">
        <v>96.86</v>
      </c>
      <c r="U58" s="2">
        <v>1672.54</v>
      </c>
      <c r="V58" s="2">
        <v>1575.68</v>
      </c>
      <c r="W58" s="2">
        <v>0</v>
      </c>
      <c r="X58" s="2">
        <v>96.86</v>
      </c>
      <c r="Y58" s="2">
        <v>1672.54</v>
      </c>
      <c r="Z58" s="2">
        <v>0</v>
      </c>
      <c r="AA58" s="2">
        <v>0</v>
      </c>
      <c r="AB58" s="2">
        <v>0</v>
      </c>
      <c r="AC58" s="2">
        <v>0</v>
      </c>
      <c r="AD58" s="2">
        <v>0</v>
      </c>
    </row>
    <row r="59" spans="1:30" x14ac:dyDescent="0.35">
      <c r="A59" t="s">
        <v>82</v>
      </c>
      <c r="B59" t="s">
        <v>495</v>
      </c>
      <c r="C59" t="s">
        <v>132</v>
      </c>
      <c r="D59" s="23" t="s">
        <v>2448</v>
      </c>
      <c r="E59" s="1">
        <v>45037</v>
      </c>
      <c r="F59" s="3">
        <v>2022</v>
      </c>
      <c r="G59" s="1">
        <v>45037</v>
      </c>
      <c r="H59" t="s">
        <v>168</v>
      </c>
      <c r="I59" t="s">
        <v>169</v>
      </c>
      <c r="J59" t="s">
        <v>80</v>
      </c>
      <c r="K59" t="s">
        <v>35</v>
      </c>
      <c r="L59" s="1">
        <v>44848</v>
      </c>
      <c r="M59" t="s">
        <v>35</v>
      </c>
      <c r="N59" t="s">
        <v>158</v>
      </c>
      <c r="O59">
        <v>0</v>
      </c>
      <c r="P59" t="s">
        <v>36</v>
      </c>
      <c r="Q59" t="s">
        <v>93</v>
      </c>
      <c r="R59" s="2">
        <v>17284</v>
      </c>
      <c r="S59" s="2">
        <v>0</v>
      </c>
      <c r="T59" s="2">
        <v>9402</v>
      </c>
      <c r="U59" s="2">
        <v>26686</v>
      </c>
      <c r="V59" s="2">
        <v>8655.1200000000008</v>
      </c>
      <c r="W59" s="2">
        <v>0</v>
      </c>
      <c r="X59" s="2">
        <v>3397.91</v>
      </c>
      <c r="Y59" s="2">
        <v>12053.03</v>
      </c>
      <c r="Z59" s="2">
        <v>8628.8799999999992</v>
      </c>
      <c r="AA59" s="2">
        <v>0</v>
      </c>
      <c r="AB59" s="2">
        <v>6004.09</v>
      </c>
      <c r="AC59" s="2">
        <v>14632.97</v>
      </c>
      <c r="AD59" s="2">
        <v>-264.07</v>
      </c>
    </row>
    <row r="60" spans="1:30" x14ac:dyDescent="0.35">
      <c r="A60" t="s">
        <v>82</v>
      </c>
      <c r="B60" t="s">
        <v>276</v>
      </c>
      <c r="C60" t="s">
        <v>31</v>
      </c>
      <c r="D60" s="23" t="s">
        <v>2448</v>
      </c>
      <c r="E60" s="1">
        <v>45047</v>
      </c>
      <c r="F60" s="3">
        <v>2022</v>
      </c>
      <c r="G60" s="1">
        <v>45205</v>
      </c>
      <c r="H60" t="s">
        <v>211</v>
      </c>
      <c r="I60" t="s">
        <v>212</v>
      </c>
      <c r="J60" t="s">
        <v>183</v>
      </c>
      <c r="K60" s="1">
        <v>45555</v>
      </c>
      <c r="L60" s="1">
        <v>42359</v>
      </c>
      <c r="M60" s="1">
        <v>45524</v>
      </c>
      <c r="O60">
        <v>0</v>
      </c>
      <c r="P60" t="s">
        <v>36</v>
      </c>
      <c r="Q60" t="s">
        <v>277</v>
      </c>
      <c r="R60" s="2">
        <v>0</v>
      </c>
      <c r="S60" s="2">
        <v>0</v>
      </c>
      <c r="T60" s="2">
        <v>0</v>
      </c>
      <c r="U60" s="2">
        <v>0</v>
      </c>
      <c r="V60" s="2">
        <v>0</v>
      </c>
      <c r="W60" s="2">
        <v>0</v>
      </c>
      <c r="X60" s="2">
        <v>0</v>
      </c>
      <c r="Y60" s="2">
        <v>0</v>
      </c>
      <c r="Z60" s="2">
        <v>0</v>
      </c>
      <c r="AA60" s="2">
        <v>0</v>
      </c>
      <c r="AB60" s="2">
        <v>0</v>
      </c>
      <c r="AC60" s="2">
        <v>0</v>
      </c>
      <c r="AD60" s="2">
        <v>0</v>
      </c>
    </row>
    <row r="61" spans="1:30" x14ac:dyDescent="0.35">
      <c r="A61" t="s">
        <v>188</v>
      </c>
      <c r="B61" t="s">
        <v>195</v>
      </c>
      <c r="C61" t="s">
        <v>31</v>
      </c>
      <c r="D61" s="23" t="s">
        <v>2448</v>
      </c>
      <c r="E61" s="1">
        <v>45050</v>
      </c>
      <c r="F61" s="3">
        <v>2022</v>
      </c>
      <c r="G61" s="1">
        <v>45061</v>
      </c>
      <c r="H61" t="s">
        <v>61</v>
      </c>
      <c r="I61" t="s">
        <v>62</v>
      </c>
      <c r="J61" t="s">
        <v>196</v>
      </c>
      <c r="K61" s="1">
        <v>45071</v>
      </c>
      <c r="L61" s="1">
        <v>45050</v>
      </c>
      <c r="M61" t="s">
        <v>35</v>
      </c>
      <c r="O61">
        <v>0</v>
      </c>
      <c r="P61" t="s">
        <v>64</v>
      </c>
      <c r="Q61" t="s">
        <v>71</v>
      </c>
      <c r="R61" s="2">
        <v>535.69000000000005</v>
      </c>
      <c r="S61" s="2">
        <v>0</v>
      </c>
      <c r="T61" s="2">
        <v>9.59</v>
      </c>
      <c r="U61" s="2">
        <v>545.28</v>
      </c>
      <c r="V61" s="2">
        <v>535.69000000000005</v>
      </c>
      <c r="W61" s="2">
        <v>0</v>
      </c>
      <c r="X61" s="2">
        <v>9.59</v>
      </c>
      <c r="Y61" s="2">
        <v>545.28</v>
      </c>
      <c r="Z61" s="2">
        <v>0</v>
      </c>
      <c r="AA61" s="2">
        <v>0</v>
      </c>
      <c r="AB61" s="2">
        <v>0</v>
      </c>
      <c r="AC61" s="2">
        <v>0</v>
      </c>
      <c r="AD61" s="2">
        <v>0</v>
      </c>
    </row>
    <row r="62" spans="1:30" x14ac:dyDescent="0.35">
      <c r="A62" t="s">
        <v>38</v>
      </c>
      <c r="B62" t="s">
        <v>493</v>
      </c>
      <c r="C62" t="s">
        <v>31</v>
      </c>
      <c r="D62" s="23" t="s">
        <v>2448</v>
      </c>
      <c r="E62" s="1">
        <v>45054</v>
      </c>
      <c r="F62" s="3">
        <v>2022</v>
      </c>
      <c r="G62" s="1">
        <v>45063</v>
      </c>
      <c r="H62" t="s">
        <v>148</v>
      </c>
      <c r="I62" t="s">
        <v>223</v>
      </c>
      <c r="J62" t="s">
        <v>494</v>
      </c>
      <c r="K62" s="1">
        <v>45313</v>
      </c>
      <c r="L62" s="1">
        <v>45054</v>
      </c>
      <c r="M62" s="1">
        <v>45313</v>
      </c>
      <c r="O62">
        <v>0</v>
      </c>
      <c r="P62" t="s">
        <v>64</v>
      </c>
      <c r="Q62" t="s">
        <v>113</v>
      </c>
      <c r="R62" s="2">
        <v>10899.23</v>
      </c>
      <c r="S62" s="2">
        <v>1978.86</v>
      </c>
      <c r="T62" s="2">
        <v>14962.18</v>
      </c>
      <c r="U62" s="2">
        <v>27840.27</v>
      </c>
      <c r="V62" s="2">
        <v>10899.23</v>
      </c>
      <c r="W62" s="2">
        <v>1978.86</v>
      </c>
      <c r="X62" s="2">
        <v>14962.18</v>
      </c>
      <c r="Y62" s="2">
        <v>27840.27</v>
      </c>
      <c r="Z62" s="2">
        <v>0</v>
      </c>
      <c r="AA62" s="2">
        <v>0</v>
      </c>
      <c r="AB62" s="2">
        <v>0</v>
      </c>
      <c r="AC62" s="2">
        <v>0</v>
      </c>
      <c r="AD62" s="2">
        <v>-650</v>
      </c>
    </row>
    <row r="63" spans="1:30" x14ac:dyDescent="0.35">
      <c r="A63" t="s">
        <v>224</v>
      </c>
      <c r="B63" t="s">
        <v>225</v>
      </c>
      <c r="C63" t="s">
        <v>31</v>
      </c>
      <c r="D63" s="23" t="s">
        <v>2448</v>
      </c>
      <c r="E63" s="1">
        <v>45055</v>
      </c>
      <c r="F63" s="3">
        <v>2022</v>
      </c>
      <c r="G63" s="1">
        <v>45055</v>
      </c>
      <c r="H63" t="s">
        <v>226</v>
      </c>
      <c r="I63" t="s">
        <v>51</v>
      </c>
      <c r="J63" t="s">
        <v>227</v>
      </c>
      <c r="K63" s="1">
        <v>45057</v>
      </c>
      <c r="L63" s="1">
        <v>43162</v>
      </c>
      <c r="M63" t="s">
        <v>35</v>
      </c>
      <c r="O63">
        <v>0</v>
      </c>
      <c r="P63" t="s">
        <v>228</v>
      </c>
      <c r="Q63" t="s">
        <v>48</v>
      </c>
      <c r="R63" s="2">
        <v>802.3</v>
      </c>
      <c r="S63" s="2">
        <v>0</v>
      </c>
      <c r="T63" s="2">
        <v>1863.72</v>
      </c>
      <c r="U63" s="2">
        <v>2666.02</v>
      </c>
      <c r="V63" s="2">
        <v>802.3</v>
      </c>
      <c r="W63" s="2">
        <v>0</v>
      </c>
      <c r="X63" s="2">
        <v>1863.72</v>
      </c>
      <c r="Y63" s="2">
        <v>2666.02</v>
      </c>
      <c r="Z63" s="2">
        <v>0</v>
      </c>
      <c r="AA63" s="2">
        <v>0</v>
      </c>
      <c r="AB63" s="2">
        <v>0</v>
      </c>
      <c r="AC63" s="2">
        <v>0</v>
      </c>
      <c r="AD63" s="2">
        <v>0</v>
      </c>
    </row>
    <row r="64" spans="1:30" x14ac:dyDescent="0.35">
      <c r="A64" t="s">
        <v>224</v>
      </c>
      <c r="B64" t="s">
        <v>231</v>
      </c>
      <c r="C64" t="s">
        <v>31</v>
      </c>
      <c r="D64" s="23" t="s">
        <v>2448</v>
      </c>
      <c r="E64" s="1">
        <v>45055</v>
      </c>
      <c r="F64" s="3">
        <v>2022</v>
      </c>
      <c r="G64" s="1">
        <v>45055</v>
      </c>
      <c r="H64" t="s">
        <v>226</v>
      </c>
      <c r="I64" t="s">
        <v>51</v>
      </c>
      <c r="J64" t="s">
        <v>227</v>
      </c>
      <c r="K64" s="1">
        <v>45058</v>
      </c>
      <c r="L64" s="1">
        <v>42522</v>
      </c>
      <c r="M64" t="s">
        <v>35</v>
      </c>
      <c r="O64">
        <v>0</v>
      </c>
      <c r="P64" t="s">
        <v>228</v>
      </c>
      <c r="Q64" t="s">
        <v>113</v>
      </c>
      <c r="R64" s="2">
        <v>1536.97</v>
      </c>
      <c r="S64" s="2">
        <v>0</v>
      </c>
      <c r="T64" s="2">
        <v>1925.62</v>
      </c>
      <c r="U64" s="2">
        <v>3462.59</v>
      </c>
      <c r="V64" s="2">
        <v>1536.97</v>
      </c>
      <c r="W64" s="2">
        <v>0</v>
      </c>
      <c r="X64" s="2">
        <v>1925.62</v>
      </c>
      <c r="Y64" s="2">
        <v>3462.59</v>
      </c>
      <c r="Z64" s="2">
        <v>0</v>
      </c>
      <c r="AA64" s="2">
        <v>0</v>
      </c>
      <c r="AB64" s="2">
        <v>0</v>
      </c>
      <c r="AC64" s="2">
        <v>0</v>
      </c>
      <c r="AD64" s="2">
        <v>0</v>
      </c>
    </row>
    <row r="65" spans="1:30" x14ac:dyDescent="0.35">
      <c r="A65" t="s">
        <v>82</v>
      </c>
      <c r="B65" t="s">
        <v>181</v>
      </c>
      <c r="C65" t="s">
        <v>31</v>
      </c>
      <c r="D65" s="23" t="s">
        <v>2448</v>
      </c>
      <c r="E65" s="1">
        <v>45058</v>
      </c>
      <c r="F65" s="3">
        <v>2022</v>
      </c>
      <c r="G65" s="1">
        <v>45062</v>
      </c>
      <c r="H65" t="s">
        <v>182</v>
      </c>
      <c r="I65" t="s">
        <v>33</v>
      </c>
      <c r="J65" t="s">
        <v>183</v>
      </c>
      <c r="K65" t="s">
        <v>35</v>
      </c>
      <c r="L65" s="1">
        <v>45058</v>
      </c>
      <c r="M65" t="s">
        <v>35</v>
      </c>
      <c r="O65">
        <v>0</v>
      </c>
      <c r="P65" t="s">
        <v>36</v>
      </c>
      <c r="Q65" t="s">
        <v>65</v>
      </c>
      <c r="R65" s="2">
        <v>0</v>
      </c>
      <c r="S65" s="2">
        <v>0</v>
      </c>
      <c r="T65" s="2">
        <v>0</v>
      </c>
      <c r="U65" s="2">
        <v>0</v>
      </c>
      <c r="V65" s="2">
        <v>0</v>
      </c>
      <c r="W65" s="2">
        <v>0</v>
      </c>
      <c r="X65" s="2">
        <v>0</v>
      </c>
      <c r="Y65" s="2">
        <v>0</v>
      </c>
      <c r="Z65" s="2">
        <v>0</v>
      </c>
      <c r="AA65" s="2">
        <v>0</v>
      </c>
      <c r="AB65" s="2">
        <v>0</v>
      </c>
      <c r="AC65" s="2">
        <v>0</v>
      </c>
      <c r="AD65" s="2">
        <v>0</v>
      </c>
    </row>
    <row r="66" spans="1:30" x14ac:dyDescent="0.35">
      <c r="A66" t="s">
        <v>90</v>
      </c>
      <c r="B66" t="s">
        <v>160</v>
      </c>
      <c r="C66" t="s">
        <v>132</v>
      </c>
      <c r="D66" s="23" t="s">
        <v>2448</v>
      </c>
      <c r="E66" s="1">
        <v>45064</v>
      </c>
      <c r="F66" s="3">
        <v>2022</v>
      </c>
      <c r="G66" s="1">
        <v>45076</v>
      </c>
      <c r="H66" t="s">
        <v>138</v>
      </c>
      <c r="I66" t="s">
        <v>161</v>
      </c>
      <c r="J66" t="s">
        <v>162</v>
      </c>
      <c r="K66" t="s">
        <v>35</v>
      </c>
      <c r="L66" s="1">
        <v>45064</v>
      </c>
      <c r="M66" s="1">
        <v>45838</v>
      </c>
      <c r="N66" t="s">
        <v>58</v>
      </c>
      <c r="O66">
        <v>56</v>
      </c>
      <c r="P66" t="s">
        <v>36</v>
      </c>
      <c r="Q66" t="s">
        <v>48</v>
      </c>
      <c r="R66" s="2">
        <v>39359</v>
      </c>
      <c r="S66" s="2">
        <v>29526</v>
      </c>
      <c r="T66" s="2">
        <v>24403</v>
      </c>
      <c r="U66" s="2">
        <v>93288</v>
      </c>
      <c r="V66" s="2">
        <v>1960.57</v>
      </c>
      <c r="W66" s="2">
        <v>4592</v>
      </c>
      <c r="X66" s="2">
        <v>16954.04</v>
      </c>
      <c r="Y66" s="2">
        <v>23506.61</v>
      </c>
      <c r="Z66" s="2">
        <v>37398.43</v>
      </c>
      <c r="AA66" s="2">
        <v>24934</v>
      </c>
      <c r="AB66" s="2">
        <v>7448.96</v>
      </c>
      <c r="AC66" s="2">
        <v>69781.39</v>
      </c>
      <c r="AD66" s="2">
        <v>0</v>
      </c>
    </row>
    <row r="67" spans="1:30" x14ac:dyDescent="0.35">
      <c r="A67" t="s">
        <v>82</v>
      </c>
      <c r="B67" t="s">
        <v>416</v>
      </c>
      <c r="C67" t="s">
        <v>31</v>
      </c>
      <c r="D67" s="23" t="s">
        <v>2448</v>
      </c>
      <c r="E67" s="1">
        <v>45064</v>
      </c>
      <c r="F67" s="3">
        <v>2022</v>
      </c>
      <c r="G67" s="1">
        <v>45069</v>
      </c>
      <c r="H67" t="s">
        <v>50</v>
      </c>
      <c r="I67" t="s">
        <v>51</v>
      </c>
      <c r="J67" t="s">
        <v>128</v>
      </c>
      <c r="K67" t="s">
        <v>35</v>
      </c>
      <c r="L67" s="1">
        <v>44303</v>
      </c>
      <c r="M67" t="s">
        <v>35</v>
      </c>
      <c r="O67">
        <v>0</v>
      </c>
      <c r="P67" t="s">
        <v>36</v>
      </c>
      <c r="Q67" t="s">
        <v>81</v>
      </c>
      <c r="R67" s="2">
        <v>1870.47</v>
      </c>
      <c r="S67" s="2">
        <v>0</v>
      </c>
      <c r="T67" s="2">
        <v>265.02</v>
      </c>
      <c r="U67" s="2">
        <v>2135.4899999999998</v>
      </c>
      <c r="V67" s="2">
        <v>1870.47</v>
      </c>
      <c r="W67" s="2">
        <v>0</v>
      </c>
      <c r="X67" s="2">
        <v>265.02</v>
      </c>
      <c r="Y67" s="2">
        <v>2135.4899999999998</v>
      </c>
      <c r="Z67" s="2">
        <v>0</v>
      </c>
      <c r="AA67" s="2">
        <v>0</v>
      </c>
      <c r="AB67" s="2">
        <v>0</v>
      </c>
      <c r="AC67" s="2">
        <v>0</v>
      </c>
      <c r="AD67" s="2">
        <v>0</v>
      </c>
    </row>
    <row r="68" spans="1:30" x14ac:dyDescent="0.35">
      <c r="A68" t="s">
        <v>29</v>
      </c>
      <c r="B68" t="s">
        <v>448</v>
      </c>
      <c r="C68" t="s">
        <v>31</v>
      </c>
      <c r="D68" s="23" t="s">
        <v>2448</v>
      </c>
      <c r="E68" s="1">
        <v>45065</v>
      </c>
      <c r="F68" s="3">
        <v>2022</v>
      </c>
      <c r="G68" s="1">
        <v>45078</v>
      </c>
      <c r="H68" t="s">
        <v>176</v>
      </c>
      <c r="I68" t="s">
        <v>45</v>
      </c>
      <c r="J68" t="s">
        <v>40</v>
      </c>
      <c r="K68" s="1">
        <v>45201</v>
      </c>
      <c r="L68" s="1">
        <v>45065</v>
      </c>
      <c r="M68" s="1">
        <v>45086</v>
      </c>
      <c r="O68">
        <v>0</v>
      </c>
      <c r="P68" t="s">
        <v>36</v>
      </c>
      <c r="Q68" t="s">
        <v>76</v>
      </c>
      <c r="R68" s="2">
        <v>0</v>
      </c>
      <c r="S68" s="2">
        <v>0</v>
      </c>
      <c r="T68" s="2">
        <v>0</v>
      </c>
      <c r="U68" s="2">
        <v>0</v>
      </c>
      <c r="V68" s="2">
        <v>0</v>
      </c>
      <c r="W68" s="2">
        <v>0</v>
      </c>
      <c r="X68" s="2">
        <v>0</v>
      </c>
      <c r="Y68" s="2">
        <v>0</v>
      </c>
      <c r="Z68" s="2">
        <v>0</v>
      </c>
      <c r="AA68" s="2">
        <v>0</v>
      </c>
      <c r="AB68" s="2">
        <v>0</v>
      </c>
      <c r="AC68" s="2">
        <v>0</v>
      </c>
      <c r="AD68" s="2">
        <v>0</v>
      </c>
    </row>
    <row r="69" spans="1:30" x14ac:dyDescent="0.35">
      <c r="A69" t="s">
        <v>82</v>
      </c>
      <c r="B69" t="s">
        <v>294</v>
      </c>
      <c r="C69" t="s">
        <v>31</v>
      </c>
      <c r="D69" s="23" t="s">
        <v>2448</v>
      </c>
      <c r="E69" s="1">
        <v>45071</v>
      </c>
      <c r="F69" s="3">
        <v>2022</v>
      </c>
      <c r="G69" s="1">
        <v>45076</v>
      </c>
      <c r="H69" t="s">
        <v>61</v>
      </c>
      <c r="I69" t="s">
        <v>62</v>
      </c>
      <c r="J69" t="s">
        <v>292</v>
      </c>
      <c r="K69" s="1">
        <v>45107</v>
      </c>
      <c r="L69" s="1">
        <v>44886</v>
      </c>
      <c r="M69" s="1">
        <v>45086</v>
      </c>
      <c r="O69">
        <v>7</v>
      </c>
      <c r="P69" t="s">
        <v>36</v>
      </c>
      <c r="Q69" t="s">
        <v>277</v>
      </c>
      <c r="R69" s="2">
        <v>1489.73</v>
      </c>
      <c r="S69" s="2">
        <v>563.74</v>
      </c>
      <c r="T69" s="2">
        <v>238.27</v>
      </c>
      <c r="U69" s="2">
        <v>2291.7399999999998</v>
      </c>
      <c r="V69" s="2">
        <v>1489.73</v>
      </c>
      <c r="W69" s="2">
        <v>563.74</v>
      </c>
      <c r="X69" s="2">
        <v>238.27</v>
      </c>
      <c r="Y69" s="2">
        <v>2291.7399999999998</v>
      </c>
      <c r="Z69" s="2">
        <v>0</v>
      </c>
      <c r="AA69" s="2">
        <v>0</v>
      </c>
      <c r="AB69" s="2">
        <v>0</v>
      </c>
      <c r="AC69" s="2">
        <v>0</v>
      </c>
      <c r="AD69" s="2">
        <v>0</v>
      </c>
    </row>
    <row r="70" spans="1:30" x14ac:dyDescent="0.35">
      <c r="A70" t="s">
        <v>38</v>
      </c>
      <c r="B70" t="s">
        <v>288</v>
      </c>
      <c r="C70" t="s">
        <v>31</v>
      </c>
      <c r="D70" s="23" t="s">
        <v>2448</v>
      </c>
      <c r="E70" s="1">
        <v>45076</v>
      </c>
      <c r="F70" s="3">
        <v>2022</v>
      </c>
      <c r="G70" s="1">
        <v>45119</v>
      </c>
      <c r="H70" t="s">
        <v>84</v>
      </c>
      <c r="I70" t="s">
        <v>85</v>
      </c>
      <c r="J70" t="s">
        <v>125</v>
      </c>
      <c r="K70" t="s">
        <v>35</v>
      </c>
      <c r="L70" s="1">
        <v>45076</v>
      </c>
      <c r="M70" t="s">
        <v>35</v>
      </c>
      <c r="O70">
        <v>0</v>
      </c>
      <c r="P70" t="s">
        <v>47</v>
      </c>
      <c r="Q70" t="s">
        <v>48</v>
      </c>
      <c r="R70" s="2">
        <v>689.08</v>
      </c>
      <c r="S70" s="2">
        <v>0</v>
      </c>
      <c r="T70" s="2">
        <v>18.41</v>
      </c>
      <c r="U70" s="2">
        <v>707.49</v>
      </c>
      <c r="V70" s="2">
        <v>689.08</v>
      </c>
      <c r="W70" s="2">
        <v>0</v>
      </c>
      <c r="X70" s="2">
        <v>18.41</v>
      </c>
      <c r="Y70" s="2">
        <v>707.49</v>
      </c>
      <c r="Z70" s="2">
        <v>0</v>
      </c>
      <c r="AA70" s="2">
        <v>0</v>
      </c>
      <c r="AB70" s="2">
        <v>0</v>
      </c>
      <c r="AC70" s="2">
        <v>0</v>
      </c>
      <c r="AD70" s="2">
        <v>-103.11</v>
      </c>
    </row>
    <row r="71" spans="1:30" x14ac:dyDescent="0.35">
      <c r="A71" t="s">
        <v>38</v>
      </c>
      <c r="B71" t="s">
        <v>207</v>
      </c>
      <c r="C71" t="s">
        <v>31</v>
      </c>
      <c r="D71" s="23" t="s">
        <v>2448</v>
      </c>
      <c r="E71" s="1">
        <v>45079</v>
      </c>
      <c r="F71" s="3">
        <v>2022</v>
      </c>
      <c r="G71" s="1">
        <v>45118</v>
      </c>
      <c r="H71" t="s">
        <v>208</v>
      </c>
      <c r="I71" t="s">
        <v>69</v>
      </c>
      <c r="J71" t="s">
        <v>200</v>
      </c>
      <c r="K71" t="s">
        <v>35</v>
      </c>
      <c r="L71" s="1">
        <v>44620</v>
      </c>
      <c r="M71" t="s">
        <v>35</v>
      </c>
      <c r="O71">
        <v>0</v>
      </c>
      <c r="P71" t="s">
        <v>47</v>
      </c>
      <c r="Q71" t="s">
        <v>53</v>
      </c>
      <c r="R71" s="2">
        <v>511.61</v>
      </c>
      <c r="S71" s="2">
        <v>0</v>
      </c>
      <c r="T71" s="2">
        <v>23.37</v>
      </c>
      <c r="U71" s="2">
        <v>534.98</v>
      </c>
      <c r="V71" s="2">
        <v>511.61</v>
      </c>
      <c r="W71" s="2">
        <v>0</v>
      </c>
      <c r="X71" s="2">
        <v>23.37</v>
      </c>
      <c r="Y71" s="2">
        <v>534.98</v>
      </c>
      <c r="Z71" s="2">
        <v>0</v>
      </c>
      <c r="AA71" s="2">
        <v>0</v>
      </c>
      <c r="AB71" s="2">
        <v>0</v>
      </c>
      <c r="AC71" s="2">
        <v>0</v>
      </c>
      <c r="AD71" s="2">
        <v>0</v>
      </c>
    </row>
    <row r="72" spans="1:30" x14ac:dyDescent="0.35">
      <c r="A72" t="s">
        <v>29</v>
      </c>
      <c r="B72" t="s">
        <v>436</v>
      </c>
      <c r="C72" t="s">
        <v>31</v>
      </c>
      <c r="D72" s="23" t="s">
        <v>2448</v>
      </c>
      <c r="E72" s="1">
        <v>45082</v>
      </c>
      <c r="F72" s="3">
        <v>2022</v>
      </c>
      <c r="G72" s="1">
        <v>45083</v>
      </c>
      <c r="H72" t="s">
        <v>144</v>
      </c>
      <c r="I72" t="s">
        <v>121</v>
      </c>
      <c r="J72" t="s">
        <v>200</v>
      </c>
      <c r="K72" t="s">
        <v>35</v>
      </c>
      <c r="L72" s="1">
        <v>44991</v>
      </c>
      <c r="M72" t="s">
        <v>35</v>
      </c>
      <c r="O72">
        <v>0</v>
      </c>
      <c r="P72" t="s">
        <v>36</v>
      </c>
      <c r="Q72" t="s">
        <v>159</v>
      </c>
      <c r="R72" s="2">
        <v>519.66</v>
      </c>
      <c r="S72" s="2">
        <v>0</v>
      </c>
      <c r="T72" s="2">
        <v>8.2100000000000009</v>
      </c>
      <c r="U72" s="2">
        <v>527.87</v>
      </c>
      <c r="V72" s="2">
        <v>519.66</v>
      </c>
      <c r="W72" s="2">
        <v>0</v>
      </c>
      <c r="X72" s="2">
        <v>8.2100000000000009</v>
      </c>
      <c r="Y72" s="2">
        <v>527.87</v>
      </c>
      <c r="Z72" s="2">
        <v>0</v>
      </c>
      <c r="AA72" s="2">
        <v>0</v>
      </c>
      <c r="AB72" s="2">
        <v>0</v>
      </c>
      <c r="AC72" s="2">
        <v>0</v>
      </c>
      <c r="AD72" s="2">
        <v>0</v>
      </c>
    </row>
    <row r="73" spans="1:30" x14ac:dyDescent="0.35">
      <c r="A73" t="s">
        <v>38</v>
      </c>
      <c r="B73" t="s">
        <v>124</v>
      </c>
      <c r="C73" t="s">
        <v>31</v>
      </c>
      <c r="D73" s="23" t="s">
        <v>2448</v>
      </c>
      <c r="E73" s="1">
        <v>45085</v>
      </c>
      <c r="F73" s="3">
        <v>2022</v>
      </c>
      <c r="G73" s="1">
        <v>45092</v>
      </c>
      <c r="H73" t="s">
        <v>84</v>
      </c>
      <c r="I73" t="s">
        <v>85</v>
      </c>
      <c r="J73" t="s">
        <v>125</v>
      </c>
      <c r="K73" t="s">
        <v>35</v>
      </c>
      <c r="L73" s="1">
        <v>45085</v>
      </c>
      <c r="M73" t="s">
        <v>35</v>
      </c>
      <c r="O73">
        <v>0</v>
      </c>
      <c r="P73" t="s">
        <v>64</v>
      </c>
      <c r="Q73" t="s">
        <v>126</v>
      </c>
      <c r="R73" s="2">
        <v>99.13</v>
      </c>
      <c r="S73" s="2">
        <v>0</v>
      </c>
      <c r="T73" s="2">
        <v>5.43</v>
      </c>
      <c r="U73" s="2">
        <v>104.56</v>
      </c>
      <c r="V73" s="2">
        <v>99.13</v>
      </c>
      <c r="W73" s="2">
        <v>0</v>
      </c>
      <c r="X73" s="2">
        <v>5.43</v>
      </c>
      <c r="Y73" s="2">
        <v>104.56</v>
      </c>
      <c r="Z73" s="2">
        <v>0</v>
      </c>
      <c r="AA73" s="2">
        <v>0</v>
      </c>
      <c r="AB73" s="2">
        <v>0</v>
      </c>
      <c r="AC73" s="2">
        <v>0</v>
      </c>
      <c r="AD73" s="2">
        <v>0</v>
      </c>
    </row>
    <row r="74" spans="1:30" x14ac:dyDescent="0.35">
      <c r="A74" t="s">
        <v>90</v>
      </c>
      <c r="B74" t="s">
        <v>450</v>
      </c>
      <c r="C74" t="s">
        <v>31</v>
      </c>
      <c r="D74" s="23" t="s">
        <v>2448</v>
      </c>
      <c r="E74" s="1">
        <v>45085</v>
      </c>
      <c r="F74" s="3">
        <v>2022</v>
      </c>
      <c r="G74" s="1">
        <v>45092</v>
      </c>
      <c r="H74" t="s">
        <v>61</v>
      </c>
      <c r="I74" t="s">
        <v>62</v>
      </c>
      <c r="J74" t="s">
        <v>165</v>
      </c>
      <c r="K74" s="1">
        <v>45097</v>
      </c>
      <c r="L74" s="1">
        <v>45085</v>
      </c>
      <c r="M74" t="s">
        <v>35</v>
      </c>
      <c r="O74">
        <v>0</v>
      </c>
      <c r="P74" t="s">
        <v>36</v>
      </c>
      <c r="Q74" t="s">
        <v>280</v>
      </c>
      <c r="R74" s="2">
        <v>0</v>
      </c>
      <c r="S74" s="2">
        <v>0</v>
      </c>
      <c r="T74" s="2">
        <v>0</v>
      </c>
      <c r="U74" s="2">
        <v>0</v>
      </c>
      <c r="V74" s="2">
        <v>0</v>
      </c>
      <c r="W74" s="2">
        <v>0</v>
      </c>
      <c r="X74" s="2">
        <v>0</v>
      </c>
      <c r="Y74" s="2">
        <v>0</v>
      </c>
      <c r="Z74" s="2">
        <v>0</v>
      </c>
      <c r="AA74" s="2">
        <v>0</v>
      </c>
      <c r="AB74" s="2">
        <v>0</v>
      </c>
      <c r="AC74" s="2">
        <v>0</v>
      </c>
      <c r="AD74" s="2">
        <v>0</v>
      </c>
    </row>
    <row r="75" spans="1:30" x14ac:dyDescent="0.35">
      <c r="A75" t="s">
        <v>38</v>
      </c>
      <c r="B75" t="s">
        <v>335</v>
      </c>
      <c r="C75" t="s">
        <v>31</v>
      </c>
      <c r="D75" s="23" t="s">
        <v>2448</v>
      </c>
      <c r="E75" s="1">
        <v>45086</v>
      </c>
      <c r="F75" s="3">
        <v>2022</v>
      </c>
      <c r="G75" s="1">
        <v>45086</v>
      </c>
      <c r="H75" t="s">
        <v>61</v>
      </c>
      <c r="I75" t="s">
        <v>62</v>
      </c>
      <c r="J75" t="s">
        <v>336</v>
      </c>
      <c r="K75" s="1">
        <v>45099</v>
      </c>
      <c r="L75" s="1">
        <v>37746</v>
      </c>
      <c r="M75" t="s">
        <v>35</v>
      </c>
      <c r="O75">
        <v>0</v>
      </c>
      <c r="P75" t="s">
        <v>47</v>
      </c>
      <c r="Q75" t="s">
        <v>53</v>
      </c>
      <c r="R75" s="2">
        <v>526.87</v>
      </c>
      <c r="S75" s="2">
        <v>0</v>
      </c>
      <c r="T75" s="2">
        <v>14.22</v>
      </c>
      <c r="U75" s="2">
        <v>541.09</v>
      </c>
      <c r="V75" s="2">
        <v>526.87</v>
      </c>
      <c r="W75" s="2">
        <v>0</v>
      </c>
      <c r="X75" s="2">
        <v>14.22</v>
      </c>
      <c r="Y75" s="2">
        <v>541.09</v>
      </c>
      <c r="Z75" s="2">
        <v>0</v>
      </c>
      <c r="AA75" s="2">
        <v>0</v>
      </c>
      <c r="AB75" s="2">
        <v>0</v>
      </c>
      <c r="AC75" s="2">
        <v>0</v>
      </c>
      <c r="AD75" s="2">
        <v>0</v>
      </c>
    </row>
    <row r="76" spans="1:30" x14ac:dyDescent="0.35">
      <c r="A76" t="s">
        <v>29</v>
      </c>
      <c r="B76" t="s">
        <v>119</v>
      </c>
      <c r="C76" t="s">
        <v>31</v>
      </c>
      <c r="D76" s="23" t="s">
        <v>2448</v>
      </c>
      <c r="E76" s="1">
        <v>45100</v>
      </c>
      <c r="F76" s="3">
        <v>2022</v>
      </c>
      <c r="G76" s="1">
        <v>45100</v>
      </c>
      <c r="H76" t="s">
        <v>120</v>
      </c>
      <c r="I76" t="s">
        <v>121</v>
      </c>
      <c r="J76" t="s">
        <v>122</v>
      </c>
      <c r="K76" s="1">
        <v>45104</v>
      </c>
      <c r="L76" s="1">
        <v>44137</v>
      </c>
      <c r="M76" t="s">
        <v>35</v>
      </c>
      <c r="O76">
        <v>0</v>
      </c>
      <c r="P76" t="s">
        <v>47</v>
      </c>
      <c r="Q76" t="s">
        <v>123</v>
      </c>
      <c r="R76" s="2">
        <v>442.83</v>
      </c>
      <c r="S76" s="2">
        <v>0</v>
      </c>
      <c r="T76" s="2">
        <v>5.96</v>
      </c>
      <c r="U76" s="2">
        <v>448.79</v>
      </c>
      <c r="V76" s="2">
        <v>442.83</v>
      </c>
      <c r="W76" s="2">
        <v>0</v>
      </c>
      <c r="X76" s="2">
        <v>5.96</v>
      </c>
      <c r="Y76" s="2">
        <v>448.79</v>
      </c>
      <c r="Z76" s="2">
        <v>0</v>
      </c>
      <c r="AA76" s="2">
        <v>0</v>
      </c>
      <c r="AB76" s="2">
        <v>0</v>
      </c>
      <c r="AC76" s="2">
        <v>0</v>
      </c>
      <c r="AD76" s="2">
        <v>0</v>
      </c>
    </row>
    <row r="77" spans="1:30" x14ac:dyDescent="0.35">
      <c r="A77" t="s">
        <v>82</v>
      </c>
      <c r="B77" t="s">
        <v>222</v>
      </c>
      <c r="C77" t="s">
        <v>31</v>
      </c>
      <c r="D77" s="23" t="s">
        <v>2448</v>
      </c>
      <c r="E77" s="1">
        <v>45109</v>
      </c>
      <c r="F77" s="3">
        <v>2023</v>
      </c>
      <c r="G77" s="1">
        <v>45141</v>
      </c>
      <c r="H77" t="s">
        <v>32</v>
      </c>
      <c r="I77" t="s">
        <v>223</v>
      </c>
      <c r="J77" t="s">
        <v>183</v>
      </c>
      <c r="K77" t="s">
        <v>35</v>
      </c>
      <c r="L77" s="1">
        <v>44998</v>
      </c>
      <c r="M77" t="s">
        <v>35</v>
      </c>
      <c r="O77">
        <v>0</v>
      </c>
      <c r="P77" t="s">
        <v>36</v>
      </c>
      <c r="Q77" t="s">
        <v>93</v>
      </c>
      <c r="R77" s="2">
        <v>0</v>
      </c>
      <c r="S77" s="2">
        <v>0</v>
      </c>
      <c r="T77" s="2">
        <v>0</v>
      </c>
      <c r="U77" s="2">
        <v>0</v>
      </c>
      <c r="V77" s="2">
        <v>0</v>
      </c>
      <c r="W77" s="2">
        <v>0</v>
      </c>
      <c r="X77" s="2">
        <v>0</v>
      </c>
      <c r="Y77" s="2">
        <v>0</v>
      </c>
      <c r="Z77" s="2">
        <v>0</v>
      </c>
      <c r="AA77" s="2">
        <v>0</v>
      </c>
      <c r="AB77" s="2">
        <v>0</v>
      </c>
      <c r="AC77" s="2">
        <v>0</v>
      </c>
      <c r="AD77" s="2">
        <v>0</v>
      </c>
    </row>
    <row r="78" spans="1:30" x14ac:dyDescent="0.35">
      <c r="A78" t="s">
        <v>29</v>
      </c>
      <c r="B78" t="s">
        <v>214</v>
      </c>
      <c r="C78" t="s">
        <v>31</v>
      </c>
      <c r="D78" s="23" t="s">
        <v>2448</v>
      </c>
      <c r="E78" s="1">
        <v>45110</v>
      </c>
      <c r="F78" s="3">
        <v>2023</v>
      </c>
      <c r="G78" s="1">
        <v>45115</v>
      </c>
      <c r="H78" t="s">
        <v>215</v>
      </c>
      <c r="I78" t="s">
        <v>51</v>
      </c>
      <c r="J78" t="s">
        <v>162</v>
      </c>
      <c r="K78" t="s">
        <v>35</v>
      </c>
      <c r="L78" s="1">
        <v>44805</v>
      </c>
      <c r="M78" t="s">
        <v>35</v>
      </c>
      <c r="O78">
        <v>0</v>
      </c>
      <c r="P78" t="s">
        <v>36</v>
      </c>
      <c r="Q78" t="s">
        <v>93</v>
      </c>
      <c r="R78" s="2">
        <v>2775.04</v>
      </c>
      <c r="S78" s="2">
        <v>0</v>
      </c>
      <c r="T78" s="2">
        <v>204.32</v>
      </c>
      <c r="U78" s="2">
        <v>2979.36</v>
      </c>
      <c r="V78" s="2">
        <v>2775.04</v>
      </c>
      <c r="W78" s="2">
        <v>0</v>
      </c>
      <c r="X78" s="2">
        <v>204.32</v>
      </c>
      <c r="Y78" s="2">
        <v>2979.36</v>
      </c>
      <c r="Z78" s="2">
        <v>0</v>
      </c>
      <c r="AA78" s="2">
        <v>0</v>
      </c>
      <c r="AB78" s="2">
        <v>0</v>
      </c>
      <c r="AC78" s="2">
        <v>0</v>
      </c>
      <c r="AD78" s="2">
        <v>0</v>
      </c>
    </row>
    <row r="79" spans="1:30" x14ac:dyDescent="0.35">
      <c r="A79" t="s">
        <v>90</v>
      </c>
      <c r="B79" t="s">
        <v>299</v>
      </c>
      <c r="C79" t="s">
        <v>31</v>
      </c>
      <c r="D79" s="23" t="s">
        <v>2448</v>
      </c>
      <c r="E79" s="1">
        <v>45110</v>
      </c>
      <c r="F79" s="3">
        <v>2023</v>
      </c>
      <c r="G79" s="1">
        <v>45111</v>
      </c>
      <c r="H79" t="s">
        <v>204</v>
      </c>
      <c r="I79" t="s">
        <v>51</v>
      </c>
      <c r="J79" t="s">
        <v>101</v>
      </c>
      <c r="K79" s="1">
        <v>45119</v>
      </c>
      <c r="L79" s="1">
        <v>45078</v>
      </c>
      <c r="M79" t="s">
        <v>35</v>
      </c>
      <c r="O79">
        <v>0</v>
      </c>
      <c r="P79" t="s">
        <v>300</v>
      </c>
      <c r="Q79" t="s">
        <v>280</v>
      </c>
      <c r="R79" s="2">
        <v>655.55</v>
      </c>
      <c r="S79" s="2">
        <v>0</v>
      </c>
      <c r="T79" s="2">
        <v>1360.93</v>
      </c>
      <c r="U79" s="2">
        <v>2016.48</v>
      </c>
      <c r="V79" s="2">
        <v>655.55</v>
      </c>
      <c r="W79" s="2">
        <v>0</v>
      </c>
      <c r="X79" s="2">
        <v>1360.93</v>
      </c>
      <c r="Y79" s="2">
        <v>2016.48</v>
      </c>
      <c r="Z79" s="2">
        <v>0</v>
      </c>
      <c r="AA79" s="2">
        <v>0</v>
      </c>
      <c r="AB79" s="2">
        <v>0</v>
      </c>
      <c r="AC79" s="2">
        <v>0</v>
      </c>
      <c r="AD79" s="2">
        <v>0</v>
      </c>
    </row>
    <row r="80" spans="1:30" x14ac:dyDescent="0.35">
      <c r="A80" t="s">
        <v>82</v>
      </c>
      <c r="B80" t="s">
        <v>437</v>
      </c>
      <c r="C80" t="s">
        <v>31</v>
      </c>
      <c r="D80" s="23" t="s">
        <v>2448</v>
      </c>
      <c r="E80" s="1">
        <v>45114</v>
      </c>
      <c r="F80" s="3">
        <v>2023</v>
      </c>
      <c r="G80" s="1">
        <v>45127</v>
      </c>
      <c r="H80" t="s">
        <v>44</v>
      </c>
      <c r="I80" t="s">
        <v>45</v>
      </c>
      <c r="J80" t="s">
        <v>438</v>
      </c>
      <c r="K80" s="1">
        <v>45707</v>
      </c>
      <c r="L80" s="1">
        <v>45114</v>
      </c>
      <c r="M80" t="s">
        <v>35</v>
      </c>
      <c r="O80">
        <v>140</v>
      </c>
      <c r="P80" t="s">
        <v>36</v>
      </c>
      <c r="Q80" t="s">
        <v>159</v>
      </c>
      <c r="R80" s="2">
        <v>2399.7600000000002</v>
      </c>
      <c r="S80" s="2">
        <v>9066.6</v>
      </c>
      <c r="T80" s="2">
        <v>1480.91</v>
      </c>
      <c r="U80" s="2">
        <v>12947.27</v>
      </c>
      <c r="V80" s="2">
        <v>2399.7600000000002</v>
      </c>
      <c r="W80" s="2">
        <v>9066.6</v>
      </c>
      <c r="X80" s="2">
        <v>1480.91</v>
      </c>
      <c r="Y80" s="2">
        <v>12947.27</v>
      </c>
      <c r="Z80" s="2">
        <v>0</v>
      </c>
      <c r="AA80" s="2">
        <v>0</v>
      </c>
      <c r="AB80" s="2">
        <v>0</v>
      </c>
      <c r="AC80" s="2">
        <v>0</v>
      </c>
      <c r="AD80" s="2">
        <v>0</v>
      </c>
    </row>
    <row r="81" spans="1:30" x14ac:dyDescent="0.35">
      <c r="A81" t="s">
        <v>271</v>
      </c>
      <c r="B81" t="s">
        <v>454</v>
      </c>
      <c r="C81" t="s">
        <v>31</v>
      </c>
      <c r="D81" s="23" t="s">
        <v>2448</v>
      </c>
      <c r="E81" s="1">
        <v>45121</v>
      </c>
      <c r="F81" s="3">
        <v>2023</v>
      </c>
      <c r="G81" s="1">
        <v>45125</v>
      </c>
      <c r="H81" t="s">
        <v>61</v>
      </c>
      <c r="I81" t="s">
        <v>62</v>
      </c>
      <c r="J81" t="s">
        <v>455</v>
      </c>
      <c r="K81" s="1">
        <v>45127</v>
      </c>
      <c r="L81" s="1">
        <v>44389</v>
      </c>
      <c r="M81" t="s">
        <v>35</v>
      </c>
      <c r="O81">
        <v>0</v>
      </c>
      <c r="P81" t="s">
        <v>273</v>
      </c>
      <c r="Q81" t="s">
        <v>53</v>
      </c>
      <c r="R81" s="2">
        <v>359.58</v>
      </c>
      <c r="S81" s="2">
        <v>0</v>
      </c>
      <c r="T81" s="2">
        <v>5.68</v>
      </c>
      <c r="U81" s="2">
        <v>365.26</v>
      </c>
      <c r="V81" s="2">
        <v>359.58</v>
      </c>
      <c r="W81" s="2">
        <v>0</v>
      </c>
      <c r="X81" s="2">
        <v>5.68</v>
      </c>
      <c r="Y81" s="2">
        <v>365.26</v>
      </c>
      <c r="Z81" s="2">
        <v>0</v>
      </c>
      <c r="AA81" s="2">
        <v>0</v>
      </c>
      <c r="AB81" s="2">
        <v>0</v>
      </c>
      <c r="AC81" s="2">
        <v>0</v>
      </c>
      <c r="AD81" s="2">
        <v>0</v>
      </c>
    </row>
    <row r="82" spans="1:30" x14ac:dyDescent="0.35">
      <c r="A82" t="s">
        <v>38</v>
      </c>
      <c r="B82" t="s">
        <v>400</v>
      </c>
      <c r="C82" t="s">
        <v>31</v>
      </c>
      <c r="D82" s="23" t="s">
        <v>2448</v>
      </c>
      <c r="E82" s="1">
        <v>45133</v>
      </c>
      <c r="F82" s="3">
        <v>2023</v>
      </c>
      <c r="G82" s="1">
        <v>45133</v>
      </c>
      <c r="H82" t="s">
        <v>32</v>
      </c>
      <c r="I82" t="s">
        <v>33</v>
      </c>
      <c r="J82" t="s">
        <v>401</v>
      </c>
      <c r="K82" s="1">
        <v>45146</v>
      </c>
      <c r="L82" s="1">
        <v>45017</v>
      </c>
      <c r="M82" t="s">
        <v>35</v>
      </c>
      <c r="O82">
        <v>0</v>
      </c>
      <c r="P82" t="s">
        <v>219</v>
      </c>
      <c r="Q82" t="s">
        <v>76</v>
      </c>
      <c r="R82" s="2">
        <v>240.55</v>
      </c>
      <c r="S82" s="2">
        <v>0</v>
      </c>
      <c r="T82" s="2">
        <v>81.23</v>
      </c>
      <c r="U82" s="2">
        <v>321.77999999999997</v>
      </c>
      <c r="V82" s="2">
        <v>240.55</v>
      </c>
      <c r="W82" s="2">
        <v>0</v>
      </c>
      <c r="X82" s="2">
        <v>81.23</v>
      </c>
      <c r="Y82" s="2">
        <v>321.77999999999997</v>
      </c>
      <c r="Z82" s="2">
        <v>0</v>
      </c>
      <c r="AA82" s="2">
        <v>0</v>
      </c>
      <c r="AB82" s="2">
        <v>0</v>
      </c>
      <c r="AC82" s="2">
        <v>0</v>
      </c>
      <c r="AD82" s="2">
        <v>0</v>
      </c>
    </row>
    <row r="83" spans="1:30" x14ac:dyDescent="0.35">
      <c r="A83" t="s">
        <v>82</v>
      </c>
      <c r="B83" t="s">
        <v>415</v>
      </c>
      <c r="C83" t="s">
        <v>31</v>
      </c>
      <c r="D83" s="23" t="s">
        <v>2448</v>
      </c>
      <c r="E83" s="1">
        <v>45140</v>
      </c>
      <c r="F83" s="3">
        <v>2023</v>
      </c>
      <c r="G83" s="1">
        <v>45140</v>
      </c>
      <c r="H83" t="s">
        <v>50</v>
      </c>
      <c r="I83" t="s">
        <v>51</v>
      </c>
      <c r="J83" t="s">
        <v>34</v>
      </c>
      <c r="K83" t="s">
        <v>35</v>
      </c>
      <c r="L83" s="1">
        <v>44949</v>
      </c>
      <c r="M83" t="s">
        <v>35</v>
      </c>
      <c r="O83">
        <v>0</v>
      </c>
      <c r="P83" t="s">
        <v>36</v>
      </c>
      <c r="Q83" t="s">
        <v>59</v>
      </c>
      <c r="R83" s="2">
        <v>1388.08</v>
      </c>
      <c r="S83" s="2">
        <v>0</v>
      </c>
      <c r="T83" s="2">
        <v>264.58</v>
      </c>
      <c r="U83" s="2">
        <v>1652.66</v>
      </c>
      <c r="V83" s="2">
        <v>1388.08</v>
      </c>
      <c r="W83" s="2">
        <v>0</v>
      </c>
      <c r="X83" s="2">
        <v>264.58</v>
      </c>
      <c r="Y83" s="2">
        <v>1652.66</v>
      </c>
      <c r="Z83" s="2">
        <v>0</v>
      </c>
      <c r="AA83" s="2">
        <v>0</v>
      </c>
      <c r="AB83" s="2">
        <v>0</v>
      </c>
      <c r="AC83" s="2">
        <v>0</v>
      </c>
      <c r="AD83" s="2">
        <v>0</v>
      </c>
    </row>
    <row r="84" spans="1:30" x14ac:dyDescent="0.35">
      <c r="A84" t="s">
        <v>29</v>
      </c>
      <c r="B84" t="s">
        <v>239</v>
      </c>
      <c r="C84" t="s">
        <v>31</v>
      </c>
      <c r="D84" s="23" t="s">
        <v>2448</v>
      </c>
      <c r="E84" s="1">
        <v>45143</v>
      </c>
      <c r="F84" s="3">
        <v>2023</v>
      </c>
      <c r="G84" s="1">
        <v>45147</v>
      </c>
      <c r="H84" t="s">
        <v>208</v>
      </c>
      <c r="I84" t="s">
        <v>69</v>
      </c>
      <c r="J84" t="s">
        <v>240</v>
      </c>
      <c r="K84" s="1">
        <v>45169</v>
      </c>
      <c r="L84" s="1">
        <v>44013</v>
      </c>
      <c r="M84" t="s">
        <v>35</v>
      </c>
      <c r="O84">
        <v>0</v>
      </c>
      <c r="P84" t="s">
        <v>36</v>
      </c>
      <c r="Q84" t="s">
        <v>93</v>
      </c>
      <c r="R84" s="2">
        <v>1666.65</v>
      </c>
      <c r="S84" s="2">
        <v>0</v>
      </c>
      <c r="T84" s="2">
        <v>298.94</v>
      </c>
      <c r="U84" s="2">
        <v>1965.59</v>
      </c>
      <c r="V84" s="2">
        <v>1666.65</v>
      </c>
      <c r="W84" s="2">
        <v>0</v>
      </c>
      <c r="X84" s="2">
        <v>298.94</v>
      </c>
      <c r="Y84" s="2">
        <v>1965.59</v>
      </c>
      <c r="Z84" s="2">
        <v>0</v>
      </c>
      <c r="AA84" s="2">
        <v>0</v>
      </c>
      <c r="AB84" s="2">
        <v>0</v>
      </c>
      <c r="AC84" s="2">
        <v>0</v>
      </c>
      <c r="AD84" s="2">
        <v>0</v>
      </c>
    </row>
    <row r="85" spans="1:30" x14ac:dyDescent="0.35">
      <c r="A85" t="s">
        <v>29</v>
      </c>
      <c r="B85" t="s">
        <v>202</v>
      </c>
      <c r="C85" t="s">
        <v>31</v>
      </c>
      <c r="D85" s="23" t="s">
        <v>2448</v>
      </c>
      <c r="E85" s="1">
        <v>45146</v>
      </c>
      <c r="F85" s="3">
        <v>2023</v>
      </c>
      <c r="G85" s="1">
        <v>45147</v>
      </c>
      <c r="H85" t="s">
        <v>32</v>
      </c>
      <c r="I85" t="s">
        <v>33</v>
      </c>
      <c r="J85" t="s">
        <v>183</v>
      </c>
      <c r="K85" t="s">
        <v>35</v>
      </c>
      <c r="L85" s="1">
        <v>44621</v>
      </c>
      <c r="M85" t="s">
        <v>35</v>
      </c>
      <c r="O85">
        <v>0</v>
      </c>
      <c r="P85" t="s">
        <v>36</v>
      </c>
      <c r="Q85" t="s">
        <v>93</v>
      </c>
      <c r="R85" s="2">
        <v>220.22</v>
      </c>
      <c r="S85" s="2">
        <v>0</v>
      </c>
      <c r="T85" s="2">
        <v>75.97</v>
      </c>
      <c r="U85" s="2">
        <v>296.19</v>
      </c>
      <c r="V85" s="2">
        <v>220.22</v>
      </c>
      <c r="W85" s="2">
        <v>0</v>
      </c>
      <c r="X85" s="2">
        <v>75.97</v>
      </c>
      <c r="Y85" s="2">
        <v>296.19</v>
      </c>
      <c r="Z85" s="2">
        <v>0</v>
      </c>
      <c r="AA85" s="2">
        <v>0</v>
      </c>
      <c r="AB85" s="2">
        <v>0</v>
      </c>
      <c r="AC85" s="2">
        <v>0</v>
      </c>
      <c r="AD85" s="2">
        <v>0</v>
      </c>
    </row>
    <row r="86" spans="1:30" x14ac:dyDescent="0.35">
      <c r="A86" t="s">
        <v>29</v>
      </c>
      <c r="B86" t="s">
        <v>442</v>
      </c>
      <c r="C86" t="s">
        <v>31</v>
      </c>
      <c r="D86" s="23" t="s">
        <v>2448</v>
      </c>
      <c r="E86" s="1">
        <v>45153</v>
      </c>
      <c r="F86" s="3">
        <v>2023</v>
      </c>
      <c r="G86" s="1">
        <v>45154</v>
      </c>
      <c r="H86" t="s">
        <v>61</v>
      </c>
      <c r="I86" t="s">
        <v>62</v>
      </c>
      <c r="J86" t="s">
        <v>443</v>
      </c>
      <c r="K86" s="1">
        <v>45881</v>
      </c>
      <c r="L86" s="1">
        <v>42015</v>
      </c>
      <c r="M86" t="s">
        <v>35</v>
      </c>
      <c r="N86" t="s">
        <v>58</v>
      </c>
      <c r="O86">
        <v>609</v>
      </c>
      <c r="P86" t="s">
        <v>75</v>
      </c>
      <c r="Q86" t="s">
        <v>76</v>
      </c>
      <c r="R86" s="2">
        <v>58554.78</v>
      </c>
      <c r="S86" s="2">
        <v>104442.19</v>
      </c>
      <c r="T86" s="2">
        <v>13267.48</v>
      </c>
      <c r="U86" s="2">
        <v>176264.45</v>
      </c>
      <c r="V86" s="2">
        <v>58554.78</v>
      </c>
      <c r="W86" s="2">
        <v>104442.19</v>
      </c>
      <c r="X86" s="2">
        <v>13267.48</v>
      </c>
      <c r="Y86" s="2">
        <v>176264.45</v>
      </c>
      <c r="Z86" s="2">
        <v>0</v>
      </c>
      <c r="AA86" s="2">
        <v>0</v>
      </c>
      <c r="AB86" s="2">
        <v>0</v>
      </c>
      <c r="AC86" s="2">
        <v>0</v>
      </c>
      <c r="AD86" s="2">
        <v>0</v>
      </c>
    </row>
    <row r="87" spans="1:30" x14ac:dyDescent="0.35">
      <c r="A87" t="s">
        <v>452</v>
      </c>
      <c r="B87" t="s">
        <v>500</v>
      </c>
      <c r="C87" t="s">
        <v>31</v>
      </c>
      <c r="D87" s="23" t="s">
        <v>2448</v>
      </c>
      <c r="E87" s="1">
        <v>45155</v>
      </c>
      <c r="F87" s="3">
        <v>2023</v>
      </c>
      <c r="G87" s="1">
        <v>45155</v>
      </c>
      <c r="H87" t="s">
        <v>296</v>
      </c>
      <c r="I87" t="s">
        <v>314</v>
      </c>
      <c r="J87" t="s">
        <v>447</v>
      </c>
      <c r="K87" s="1">
        <v>45716</v>
      </c>
      <c r="L87" s="1">
        <v>39142</v>
      </c>
      <c r="M87" s="1">
        <v>45716</v>
      </c>
      <c r="N87" t="s">
        <v>58</v>
      </c>
      <c r="O87">
        <v>188</v>
      </c>
      <c r="P87" t="s">
        <v>36</v>
      </c>
      <c r="Q87" t="s">
        <v>87</v>
      </c>
      <c r="R87" s="2">
        <v>35379.089999999997</v>
      </c>
      <c r="S87" s="2">
        <v>36889.83</v>
      </c>
      <c r="T87" s="2">
        <v>30519.9</v>
      </c>
      <c r="U87" s="2">
        <v>102788.82</v>
      </c>
      <c r="V87" s="2">
        <v>35379.089999999997</v>
      </c>
      <c r="W87" s="2">
        <v>36889.83</v>
      </c>
      <c r="X87" s="2">
        <v>30519.9</v>
      </c>
      <c r="Y87" s="2">
        <v>102788.82</v>
      </c>
      <c r="Z87" s="2">
        <v>0</v>
      </c>
      <c r="AA87" s="2">
        <v>0</v>
      </c>
      <c r="AB87" s="2">
        <v>0</v>
      </c>
      <c r="AC87" s="2">
        <v>0</v>
      </c>
      <c r="AD87" s="2">
        <v>-1147.5</v>
      </c>
    </row>
    <row r="88" spans="1:30" x14ac:dyDescent="0.35">
      <c r="A88" t="s">
        <v>29</v>
      </c>
      <c r="B88" t="s">
        <v>426</v>
      </c>
      <c r="C88" t="s">
        <v>31</v>
      </c>
      <c r="D88" s="23" t="s">
        <v>2448</v>
      </c>
      <c r="E88" s="1">
        <v>45166</v>
      </c>
      <c r="F88" s="3">
        <v>2023</v>
      </c>
      <c r="G88" s="1">
        <v>45201</v>
      </c>
      <c r="H88" t="s">
        <v>406</v>
      </c>
      <c r="I88" t="s">
        <v>51</v>
      </c>
      <c r="J88" t="s">
        <v>128</v>
      </c>
      <c r="K88" s="1">
        <v>45337</v>
      </c>
      <c r="L88" s="1">
        <v>45051</v>
      </c>
      <c r="M88" s="1">
        <v>45330</v>
      </c>
      <c r="O88">
        <v>0</v>
      </c>
      <c r="P88" t="s">
        <v>36</v>
      </c>
      <c r="Q88" t="s">
        <v>105</v>
      </c>
      <c r="R88" s="2">
        <v>4511</v>
      </c>
      <c r="S88" s="2">
        <v>0</v>
      </c>
      <c r="T88" s="2">
        <v>231.46</v>
      </c>
      <c r="U88" s="2">
        <v>4742.46</v>
      </c>
      <c r="V88" s="2">
        <v>4511</v>
      </c>
      <c r="W88" s="2">
        <v>0</v>
      </c>
      <c r="X88" s="2">
        <v>231.46</v>
      </c>
      <c r="Y88" s="2">
        <v>4742.46</v>
      </c>
      <c r="Z88" s="2">
        <v>0</v>
      </c>
      <c r="AA88" s="2">
        <v>0</v>
      </c>
      <c r="AB88" s="2">
        <v>0</v>
      </c>
      <c r="AC88" s="2">
        <v>0</v>
      </c>
      <c r="AD88" s="2">
        <v>0</v>
      </c>
    </row>
    <row r="89" spans="1:30" x14ac:dyDescent="0.35">
      <c r="A89" t="s">
        <v>54</v>
      </c>
      <c r="B89" t="s">
        <v>96</v>
      </c>
      <c r="C89" t="s">
        <v>31</v>
      </c>
      <c r="D89" s="23" t="s">
        <v>2448</v>
      </c>
      <c r="E89" s="1">
        <v>45178</v>
      </c>
      <c r="F89" s="3">
        <v>2023</v>
      </c>
      <c r="G89" s="1">
        <v>45231</v>
      </c>
      <c r="H89" t="s">
        <v>97</v>
      </c>
      <c r="I89" t="s">
        <v>98</v>
      </c>
      <c r="J89" t="s">
        <v>57</v>
      </c>
      <c r="K89" s="1">
        <v>45380</v>
      </c>
      <c r="L89" s="1">
        <v>45054</v>
      </c>
      <c r="M89" t="s">
        <v>35</v>
      </c>
      <c r="O89">
        <v>0</v>
      </c>
      <c r="P89" t="s">
        <v>36</v>
      </c>
      <c r="Q89" t="s">
        <v>48</v>
      </c>
      <c r="R89" s="2">
        <v>91.8</v>
      </c>
      <c r="S89" s="2">
        <v>0</v>
      </c>
      <c r="T89" s="2">
        <v>1405.15</v>
      </c>
      <c r="U89" s="2">
        <v>1496.95</v>
      </c>
      <c r="V89" s="2">
        <v>91.8</v>
      </c>
      <c r="W89" s="2">
        <v>0</v>
      </c>
      <c r="X89" s="2">
        <v>1405.15</v>
      </c>
      <c r="Y89" s="2">
        <v>1496.95</v>
      </c>
      <c r="Z89" s="2">
        <v>0</v>
      </c>
      <c r="AA89" s="2">
        <v>0</v>
      </c>
      <c r="AB89" s="2">
        <v>0</v>
      </c>
      <c r="AC89" s="2">
        <v>0</v>
      </c>
      <c r="AD89" s="2">
        <v>0</v>
      </c>
    </row>
    <row r="90" spans="1:30" x14ac:dyDescent="0.35">
      <c r="A90" t="s">
        <v>82</v>
      </c>
      <c r="B90" t="s">
        <v>114</v>
      </c>
      <c r="C90" t="s">
        <v>31</v>
      </c>
      <c r="D90" s="23" t="s">
        <v>2448</v>
      </c>
      <c r="E90" s="1">
        <v>45189</v>
      </c>
      <c r="F90" s="3">
        <v>2023</v>
      </c>
      <c r="G90" s="1">
        <v>45190</v>
      </c>
      <c r="H90" t="s">
        <v>115</v>
      </c>
      <c r="I90" t="s">
        <v>45</v>
      </c>
      <c r="J90" t="s">
        <v>63</v>
      </c>
      <c r="K90" s="1">
        <v>45191</v>
      </c>
      <c r="L90" s="1">
        <v>44958</v>
      </c>
      <c r="M90" t="s">
        <v>35</v>
      </c>
      <c r="O90">
        <v>0</v>
      </c>
      <c r="P90" t="s">
        <v>36</v>
      </c>
      <c r="Q90" t="s">
        <v>76</v>
      </c>
      <c r="R90" s="2">
        <v>1012.73</v>
      </c>
      <c r="S90" s="2">
        <v>0</v>
      </c>
      <c r="T90" s="2">
        <v>293</v>
      </c>
      <c r="U90" s="2">
        <v>1305.73</v>
      </c>
      <c r="V90" s="2">
        <v>1012.73</v>
      </c>
      <c r="W90" s="2">
        <v>0</v>
      </c>
      <c r="X90" s="2">
        <v>293</v>
      </c>
      <c r="Y90" s="2">
        <v>1305.73</v>
      </c>
      <c r="Z90" s="2">
        <v>0</v>
      </c>
      <c r="AA90" s="2">
        <v>0</v>
      </c>
      <c r="AB90" s="2">
        <v>0</v>
      </c>
      <c r="AC90" s="2">
        <v>0</v>
      </c>
      <c r="AD90" s="2">
        <v>0</v>
      </c>
    </row>
    <row r="91" spans="1:30" x14ac:dyDescent="0.35">
      <c r="A91" t="s">
        <v>82</v>
      </c>
      <c r="B91" t="s">
        <v>315</v>
      </c>
      <c r="C91" t="s">
        <v>31</v>
      </c>
      <c r="D91" s="23" t="s">
        <v>2448</v>
      </c>
      <c r="E91" s="1">
        <v>45189</v>
      </c>
      <c r="F91" s="3">
        <v>2023</v>
      </c>
      <c r="G91" s="1">
        <v>45198</v>
      </c>
      <c r="H91" t="s">
        <v>138</v>
      </c>
      <c r="I91" t="s">
        <v>139</v>
      </c>
      <c r="J91" t="s">
        <v>316</v>
      </c>
      <c r="K91" s="1">
        <v>45912</v>
      </c>
      <c r="L91" s="1">
        <v>42899</v>
      </c>
      <c r="M91" t="s">
        <v>35</v>
      </c>
      <c r="N91" t="s">
        <v>58</v>
      </c>
      <c r="O91">
        <v>131</v>
      </c>
      <c r="P91" t="s">
        <v>36</v>
      </c>
      <c r="Q91" t="s">
        <v>87</v>
      </c>
      <c r="R91" s="2">
        <v>44165.35</v>
      </c>
      <c r="S91" s="2">
        <v>88932.67</v>
      </c>
      <c r="T91" s="2">
        <v>23135.17</v>
      </c>
      <c r="U91" s="2">
        <v>156233.19</v>
      </c>
      <c r="V91" s="2">
        <v>44165.35</v>
      </c>
      <c r="W91" s="2">
        <v>88932.67</v>
      </c>
      <c r="X91" s="2">
        <v>23135.17</v>
      </c>
      <c r="Y91" s="2">
        <v>156233.19</v>
      </c>
      <c r="Z91" s="2">
        <v>0</v>
      </c>
      <c r="AA91" s="2">
        <v>0</v>
      </c>
      <c r="AB91" s="2">
        <v>0</v>
      </c>
      <c r="AC91" s="2">
        <v>0</v>
      </c>
      <c r="AD91" s="2">
        <v>0</v>
      </c>
    </row>
    <row r="92" spans="1:30" x14ac:dyDescent="0.35">
      <c r="A92" t="s">
        <v>38</v>
      </c>
      <c r="B92" t="s">
        <v>49</v>
      </c>
      <c r="C92" t="s">
        <v>31</v>
      </c>
      <c r="D92" s="23" t="s">
        <v>2448</v>
      </c>
      <c r="E92" s="1">
        <v>45194</v>
      </c>
      <c r="F92" s="3">
        <v>2023</v>
      </c>
      <c r="G92" s="1">
        <v>45196</v>
      </c>
      <c r="H92" t="s">
        <v>50</v>
      </c>
      <c r="I92" t="s">
        <v>51</v>
      </c>
      <c r="J92" t="s">
        <v>52</v>
      </c>
      <c r="K92" s="1">
        <v>45267</v>
      </c>
      <c r="L92" s="1">
        <v>45194</v>
      </c>
      <c r="M92" s="1">
        <v>45224</v>
      </c>
      <c r="O92">
        <v>0</v>
      </c>
      <c r="P92" t="s">
        <v>47</v>
      </c>
      <c r="Q92" t="s">
        <v>53</v>
      </c>
      <c r="R92" s="2">
        <v>1414.52</v>
      </c>
      <c r="S92" s="2">
        <v>0</v>
      </c>
      <c r="T92" s="2">
        <v>80.19</v>
      </c>
      <c r="U92" s="2">
        <v>1494.71</v>
      </c>
      <c r="V92" s="2">
        <v>1414.52</v>
      </c>
      <c r="W92" s="2">
        <v>0</v>
      </c>
      <c r="X92" s="2">
        <v>80.19</v>
      </c>
      <c r="Y92" s="2">
        <v>1494.71</v>
      </c>
      <c r="Z92" s="2">
        <v>0</v>
      </c>
      <c r="AA92" s="2">
        <v>0</v>
      </c>
      <c r="AB92" s="2">
        <v>0</v>
      </c>
      <c r="AC92" s="2">
        <v>0</v>
      </c>
      <c r="AD92" s="2">
        <v>0</v>
      </c>
    </row>
    <row r="93" spans="1:30" x14ac:dyDescent="0.35">
      <c r="A93" t="s">
        <v>38</v>
      </c>
      <c r="B93" t="s">
        <v>363</v>
      </c>
      <c r="C93" t="s">
        <v>31</v>
      </c>
      <c r="D93" s="23" t="s">
        <v>2448</v>
      </c>
      <c r="E93" s="1">
        <v>45195</v>
      </c>
      <c r="F93" s="3">
        <v>2023</v>
      </c>
      <c r="G93" s="1">
        <v>45197</v>
      </c>
      <c r="H93" t="s">
        <v>50</v>
      </c>
      <c r="I93" t="s">
        <v>51</v>
      </c>
      <c r="J93" t="s">
        <v>52</v>
      </c>
      <c r="K93" s="1">
        <v>45202</v>
      </c>
      <c r="L93" s="1">
        <v>39560</v>
      </c>
      <c r="M93" t="s">
        <v>35</v>
      </c>
      <c r="O93">
        <v>0</v>
      </c>
      <c r="P93" t="s">
        <v>47</v>
      </c>
      <c r="Q93" t="s">
        <v>53</v>
      </c>
      <c r="R93" s="2">
        <v>829.53</v>
      </c>
      <c r="S93" s="2">
        <v>0</v>
      </c>
      <c r="T93" s="2">
        <v>44.6</v>
      </c>
      <c r="U93" s="2">
        <v>874.13</v>
      </c>
      <c r="V93" s="2">
        <v>829.53</v>
      </c>
      <c r="W93" s="2">
        <v>0</v>
      </c>
      <c r="X93" s="2">
        <v>44.6</v>
      </c>
      <c r="Y93" s="2">
        <v>874.13</v>
      </c>
      <c r="Z93" s="2">
        <v>0</v>
      </c>
      <c r="AA93" s="2">
        <v>0</v>
      </c>
      <c r="AB93" s="2">
        <v>0</v>
      </c>
      <c r="AC93" s="2">
        <v>0</v>
      </c>
      <c r="AD93" s="2">
        <v>0</v>
      </c>
    </row>
    <row r="94" spans="1:30" x14ac:dyDescent="0.35">
      <c r="A94" t="s">
        <v>38</v>
      </c>
      <c r="B94" t="s">
        <v>364</v>
      </c>
      <c r="C94" t="s">
        <v>31</v>
      </c>
      <c r="D94" s="23" t="s">
        <v>2448</v>
      </c>
      <c r="E94" s="1">
        <v>45195</v>
      </c>
      <c r="F94" s="3">
        <v>2023</v>
      </c>
      <c r="G94" s="1">
        <v>45197</v>
      </c>
      <c r="H94" t="s">
        <v>50</v>
      </c>
      <c r="I94" t="s">
        <v>51</v>
      </c>
      <c r="J94" t="s">
        <v>253</v>
      </c>
      <c r="K94" t="s">
        <v>35</v>
      </c>
      <c r="L94" s="1">
        <v>39560</v>
      </c>
      <c r="M94" t="s">
        <v>35</v>
      </c>
      <c r="O94">
        <v>0</v>
      </c>
      <c r="P94" t="s">
        <v>47</v>
      </c>
      <c r="Q94" t="s">
        <v>53</v>
      </c>
      <c r="R94" s="2">
        <v>0</v>
      </c>
      <c r="S94" s="2">
        <v>0</v>
      </c>
      <c r="T94" s="2">
        <v>0</v>
      </c>
      <c r="U94" s="2">
        <v>0</v>
      </c>
      <c r="V94" s="2">
        <v>0</v>
      </c>
      <c r="W94" s="2">
        <v>0</v>
      </c>
      <c r="X94" s="2">
        <v>0</v>
      </c>
      <c r="Y94" s="2">
        <v>0</v>
      </c>
      <c r="Z94" s="2">
        <v>0</v>
      </c>
      <c r="AA94" s="2">
        <v>0</v>
      </c>
      <c r="AB94" s="2">
        <v>0</v>
      </c>
      <c r="AC94" s="2">
        <v>0</v>
      </c>
      <c r="AD94" s="2">
        <v>0</v>
      </c>
    </row>
    <row r="95" spans="1:30" x14ac:dyDescent="0.35">
      <c r="A95" t="s">
        <v>29</v>
      </c>
      <c r="B95" t="s">
        <v>175</v>
      </c>
      <c r="C95" t="s">
        <v>31</v>
      </c>
      <c r="D95" s="23" t="s">
        <v>2448</v>
      </c>
      <c r="E95" s="1">
        <v>45197</v>
      </c>
      <c r="F95" s="3">
        <v>2023</v>
      </c>
      <c r="G95" s="1">
        <v>45203</v>
      </c>
      <c r="H95" t="s">
        <v>176</v>
      </c>
      <c r="I95" t="s">
        <v>45</v>
      </c>
      <c r="J95" t="s">
        <v>34</v>
      </c>
      <c r="K95" s="1">
        <v>45257</v>
      </c>
      <c r="L95" s="1">
        <v>31621</v>
      </c>
      <c r="M95" t="s">
        <v>35</v>
      </c>
      <c r="O95">
        <v>0</v>
      </c>
      <c r="P95" t="s">
        <v>36</v>
      </c>
      <c r="Q95" t="s">
        <v>93</v>
      </c>
      <c r="R95" s="2">
        <v>201</v>
      </c>
      <c r="S95" s="2">
        <v>0</v>
      </c>
      <c r="T95" s="2">
        <v>120.85</v>
      </c>
      <c r="U95" s="2">
        <v>321.85000000000002</v>
      </c>
      <c r="V95" s="2">
        <v>201</v>
      </c>
      <c r="W95" s="2">
        <v>0</v>
      </c>
      <c r="X95" s="2">
        <v>120.85</v>
      </c>
      <c r="Y95" s="2">
        <v>321.85000000000002</v>
      </c>
      <c r="Z95" s="2">
        <v>0</v>
      </c>
      <c r="AA95" s="2">
        <v>0</v>
      </c>
      <c r="AB95" s="2">
        <v>0</v>
      </c>
      <c r="AC95" s="2">
        <v>0</v>
      </c>
      <c r="AD95" s="2">
        <v>0</v>
      </c>
    </row>
    <row r="96" spans="1:30" x14ac:dyDescent="0.35">
      <c r="A96" t="s">
        <v>265</v>
      </c>
      <c r="B96" t="s">
        <v>427</v>
      </c>
      <c r="C96" t="s">
        <v>31</v>
      </c>
      <c r="D96" s="23" t="s">
        <v>2448</v>
      </c>
      <c r="E96" s="1">
        <v>45201</v>
      </c>
      <c r="F96" s="3">
        <v>2023</v>
      </c>
      <c r="G96" s="1">
        <v>45289</v>
      </c>
      <c r="H96" t="s">
        <v>44</v>
      </c>
      <c r="I96" t="s">
        <v>45</v>
      </c>
      <c r="J96" t="s">
        <v>186</v>
      </c>
      <c r="K96" s="1">
        <v>45293</v>
      </c>
      <c r="L96" s="1">
        <v>45201</v>
      </c>
      <c r="M96" t="s">
        <v>35</v>
      </c>
      <c r="N96" t="s">
        <v>58</v>
      </c>
      <c r="O96">
        <v>0</v>
      </c>
      <c r="P96" t="s">
        <v>41</v>
      </c>
      <c r="Q96" t="s">
        <v>42</v>
      </c>
      <c r="R96" s="2">
        <v>0</v>
      </c>
      <c r="S96" s="2">
        <v>0</v>
      </c>
      <c r="T96" s="2">
        <v>895.8</v>
      </c>
      <c r="U96" s="2">
        <v>895.8</v>
      </c>
      <c r="V96" s="2">
        <v>0</v>
      </c>
      <c r="W96" s="2">
        <v>0</v>
      </c>
      <c r="X96" s="2">
        <v>895.8</v>
      </c>
      <c r="Y96" s="2">
        <v>895.8</v>
      </c>
      <c r="Z96" s="2">
        <v>0</v>
      </c>
      <c r="AA96" s="2">
        <v>0</v>
      </c>
      <c r="AB96" s="2">
        <v>0</v>
      </c>
      <c r="AC96" s="2">
        <v>0</v>
      </c>
      <c r="AD96" s="2">
        <v>0</v>
      </c>
    </row>
    <row r="97" spans="1:30" x14ac:dyDescent="0.35">
      <c r="A97" t="s">
        <v>134</v>
      </c>
      <c r="B97" t="s">
        <v>428</v>
      </c>
      <c r="C97" t="s">
        <v>31</v>
      </c>
      <c r="D97" s="23" t="s">
        <v>2448</v>
      </c>
      <c r="E97" s="1">
        <v>45201</v>
      </c>
      <c r="F97" s="3">
        <v>2023</v>
      </c>
      <c r="G97" s="1">
        <v>45209</v>
      </c>
      <c r="H97" t="s">
        <v>44</v>
      </c>
      <c r="I97" t="s">
        <v>352</v>
      </c>
      <c r="J97" t="s">
        <v>40</v>
      </c>
      <c r="K97" s="1">
        <v>45366</v>
      </c>
      <c r="L97" s="1">
        <v>44713</v>
      </c>
      <c r="M97" t="s">
        <v>35</v>
      </c>
      <c r="O97">
        <v>0</v>
      </c>
      <c r="P97" t="s">
        <v>64</v>
      </c>
      <c r="Q97" t="s">
        <v>87</v>
      </c>
      <c r="R97" s="2">
        <v>0</v>
      </c>
      <c r="S97" s="2">
        <v>0</v>
      </c>
      <c r="T97" s="2">
        <v>0</v>
      </c>
      <c r="U97" s="2">
        <v>0</v>
      </c>
      <c r="V97" s="2">
        <v>0</v>
      </c>
      <c r="W97" s="2">
        <v>0</v>
      </c>
      <c r="X97" s="2">
        <v>0</v>
      </c>
      <c r="Y97" s="2">
        <v>0</v>
      </c>
      <c r="Z97" s="2">
        <v>0</v>
      </c>
      <c r="AA97" s="2">
        <v>0</v>
      </c>
      <c r="AB97" s="2">
        <v>0</v>
      </c>
      <c r="AC97" s="2">
        <v>0</v>
      </c>
      <c r="AD97" s="2">
        <v>0</v>
      </c>
    </row>
    <row r="98" spans="1:30" x14ac:dyDescent="0.35">
      <c r="A98" t="s">
        <v>265</v>
      </c>
      <c r="B98" t="s">
        <v>429</v>
      </c>
      <c r="C98" t="s">
        <v>132</v>
      </c>
      <c r="D98" s="23" t="s">
        <v>2448</v>
      </c>
      <c r="E98" s="1">
        <v>45201</v>
      </c>
      <c r="F98" s="3">
        <v>2023</v>
      </c>
      <c r="G98" s="1">
        <v>45344</v>
      </c>
      <c r="H98" t="s">
        <v>44</v>
      </c>
      <c r="I98" t="s">
        <v>352</v>
      </c>
      <c r="J98" t="s">
        <v>40</v>
      </c>
      <c r="K98" t="s">
        <v>35</v>
      </c>
      <c r="L98" s="1">
        <v>44713</v>
      </c>
      <c r="M98" t="s">
        <v>35</v>
      </c>
      <c r="N98" t="s">
        <v>58</v>
      </c>
      <c r="O98">
        <v>0</v>
      </c>
      <c r="P98" t="s">
        <v>64</v>
      </c>
      <c r="Q98" t="s">
        <v>87</v>
      </c>
      <c r="R98" s="2">
        <v>8428</v>
      </c>
      <c r="S98" s="2">
        <v>0</v>
      </c>
      <c r="T98" s="2">
        <v>11338</v>
      </c>
      <c r="U98" s="2">
        <v>19766</v>
      </c>
      <c r="V98" s="2">
        <v>3596.41</v>
      </c>
      <c r="W98" s="2">
        <v>0</v>
      </c>
      <c r="X98" s="2">
        <v>3401.57</v>
      </c>
      <c r="Y98" s="2">
        <v>6997.98</v>
      </c>
      <c r="Z98" s="2">
        <v>4831.59</v>
      </c>
      <c r="AA98" s="2">
        <v>0</v>
      </c>
      <c r="AB98" s="2">
        <v>7936.43</v>
      </c>
      <c r="AC98" s="2">
        <v>12768.02</v>
      </c>
      <c r="AD98" s="2">
        <v>0</v>
      </c>
    </row>
    <row r="99" spans="1:30" x14ac:dyDescent="0.35">
      <c r="A99" t="s">
        <v>136</v>
      </c>
      <c r="B99" t="s">
        <v>137</v>
      </c>
      <c r="C99" t="s">
        <v>132</v>
      </c>
      <c r="D99" s="23" t="s">
        <v>2448</v>
      </c>
      <c r="E99" s="1">
        <v>45204</v>
      </c>
      <c r="F99" s="3">
        <v>2023</v>
      </c>
      <c r="G99" s="1">
        <v>45205</v>
      </c>
      <c r="H99" t="s">
        <v>138</v>
      </c>
      <c r="I99" t="s">
        <v>139</v>
      </c>
      <c r="J99" t="s">
        <v>140</v>
      </c>
      <c r="K99" t="s">
        <v>35</v>
      </c>
      <c r="L99" s="1">
        <v>44806</v>
      </c>
      <c r="M99" s="1">
        <v>45216</v>
      </c>
      <c r="N99" t="s">
        <v>58</v>
      </c>
      <c r="O99">
        <v>31</v>
      </c>
      <c r="P99" t="s">
        <v>141</v>
      </c>
      <c r="Q99" t="s">
        <v>42</v>
      </c>
      <c r="R99" s="2">
        <v>16629</v>
      </c>
      <c r="S99" s="2">
        <v>22662</v>
      </c>
      <c r="T99" s="2">
        <v>14064</v>
      </c>
      <c r="U99" s="2">
        <v>53355</v>
      </c>
      <c r="V99" s="2">
        <v>9193.9500000000007</v>
      </c>
      <c r="W99" s="2">
        <v>4822.71</v>
      </c>
      <c r="X99" s="2">
        <v>8320.39</v>
      </c>
      <c r="Y99" s="2">
        <v>22337.05</v>
      </c>
      <c r="Z99" s="2">
        <v>7435.05</v>
      </c>
      <c r="AA99" s="2">
        <v>17839.29</v>
      </c>
      <c r="AB99" s="2">
        <v>5743.61</v>
      </c>
      <c r="AC99" s="2">
        <v>31017.95</v>
      </c>
      <c r="AD99" s="2">
        <v>0</v>
      </c>
    </row>
    <row r="100" spans="1:30" x14ac:dyDescent="0.35">
      <c r="A100" t="s">
        <v>188</v>
      </c>
      <c r="B100" t="s">
        <v>189</v>
      </c>
      <c r="C100" t="s">
        <v>31</v>
      </c>
      <c r="D100" s="23" t="s">
        <v>2448</v>
      </c>
      <c r="E100" s="1">
        <v>45205</v>
      </c>
      <c r="F100" s="3">
        <v>2023</v>
      </c>
      <c r="G100" s="1">
        <v>45212</v>
      </c>
      <c r="H100" t="s">
        <v>32</v>
      </c>
      <c r="I100" t="s">
        <v>33</v>
      </c>
      <c r="J100" t="s">
        <v>190</v>
      </c>
      <c r="K100" t="s">
        <v>35</v>
      </c>
      <c r="L100" s="1">
        <v>45166</v>
      </c>
      <c r="M100" t="s">
        <v>35</v>
      </c>
      <c r="O100">
        <v>0</v>
      </c>
      <c r="P100" t="s">
        <v>75</v>
      </c>
      <c r="Q100" t="s">
        <v>191</v>
      </c>
      <c r="R100" s="2">
        <v>0</v>
      </c>
      <c r="S100" s="2">
        <v>0</v>
      </c>
      <c r="T100" s="2">
        <v>0</v>
      </c>
      <c r="U100" s="2">
        <v>0</v>
      </c>
      <c r="V100" s="2">
        <v>0</v>
      </c>
      <c r="W100" s="2">
        <v>0</v>
      </c>
      <c r="X100" s="2">
        <v>0</v>
      </c>
      <c r="Y100" s="2">
        <v>0</v>
      </c>
      <c r="Z100" s="2">
        <v>0</v>
      </c>
      <c r="AA100" s="2">
        <v>0</v>
      </c>
      <c r="AB100" s="2">
        <v>0</v>
      </c>
      <c r="AC100" s="2">
        <v>0</v>
      </c>
      <c r="AD100" s="2">
        <v>0</v>
      </c>
    </row>
    <row r="101" spans="1:30" x14ac:dyDescent="0.35">
      <c r="A101" t="s">
        <v>82</v>
      </c>
      <c r="B101" t="s">
        <v>451</v>
      </c>
      <c r="C101" t="s">
        <v>31</v>
      </c>
      <c r="D101" s="23" t="s">
        <v>2448</v>
      </c>
      <c r="E101" s="1">
        <v>45205</v>
      </c>
      <c r="F101" s="3">
        <v>2023</v>
      </c>
      <c r="G101" s="1">
        <v>45212</v>
      </c>
      <c r="H101" t="s">
        <v>138</v>
      </c>
      <c r="I101" t="s">
        <v>161</v>
      </c>
      <c r="J101" t="s">
        <v>304</v>
      </c>
      <c r="K101" s="1">
        <v>45344</v>
      </c>
      <c r="L101" s="1">
        <v>44409</v>
      </c>
      <c r="M101" s="1">
        <v>45232</v>
      </c>
      <c r="O101">
        <v>87</v>
      </c>
      <c r="P101" t="s">
        <v>36</v>
      </c>
      <c r="Q101" t="s">
        <v>145</v>
      </c>
      <c r="R101" s="2">
        <v>1091.1199999999999</v>
      </c>
      <c r="S101" s="2">
        <v>9532.7000000000007</v>
      </c>
      <c r="T101" s="2">
        <v>310.13</v>
      </c>
      <c r="U101" s="2">
        <v>10933.95</v>
      </c>
      <c r="V101" s="2">
        <v>1091.1199999999999</v>
      </c>
      <c r="W101" s="2">
        <v>9532.7000000000007</v>
      </c>
      <c r="X101" s="2">
        <v>310.13</v>
      </c>
      <c r="Y101" s="2">
        <v>10933.95</v>
      </c>
      <c r="Z101" s="2">
        <v>0</v>
      </c>
      <c r="AA101" s="2">
        <v>0</v>
      </c>
      <c r="AB101" s="2">
        <v>0</v>
      </c>
      <c r="AC101" s="2">
        <v>0</v>
      </c>
      <c r="AD101" s="2">
        <v>0</v>
      </c>
    </row>
    <row r="102" spans="1:30" x14ac:dyDescent="0.35">
      <c r="A102" t="s">
        <v>90</v>
      </c>
      <c r="B102" t="s">
        <v>241</v>
      </c>
      <c r="C102" t="s">
        <v>31</v>
      </c>
      <c r="D102" s="23" t="s">
        <v>2448</v>
      </c>
      <c r="E102" s="1">
        <v>45209</v>
      </c>
      <c r="F102" s="3">
        <v>2023</v>
      </c>
      <c r="G102" s="1">
        <v>45209</v>
      </c>
      <c r="H102" t="s">
        <v>84</v>
      </c>
      <c r="I102" t="s">
        <v>85</v>
      </c>
      <c r="J102" t="s">
        <v>101</v>
      </c>
      <c r="K102" s="1">
        <v>45244</v>
      </c>
      <c r="L102" s="1">
        <v>44774</v>
      </c>
      <c r="M102" t="s">
        <v>35</v>
      </c>
      <c r="O102">
        <v>0</v>
      </c>
      <c r="P102" t="s">
        <v>64</v>
      </c>
      <c r="Q102" t="s">
        <v>65</v>
      </c>
      <c r="R102" s="2">
        <v>1270.2</v>
      </c>
      <c r="S102" s="2">
        <v>0</v>
      </c>
      <c r="T102" s="2">
        <v>58.38</v>
      </c>
      <c r="U102" s="2">
        <v>1328.58</v>
      </c>
      <c r="V102" s="2">
        <v>1270.2</v>
      </c>
      <c r="W102" s="2">
        <v>0</v>
      </c>
      <c r="X102" s="2">
        <v>58.38</v>
      </c>
      <c r="Y102" s="2">
        <v>1328.58</v>
      </c>
      <c r="Z102" s="2">
        <v>0</v>
      </c>
      <c r="AA102" s="2">
        <v>0</v>
      </c>
      <c r="AB102" s="2">
        <v>0</v>
      </c>
      <c r="AC102" s="2">
        <v>0</v>
      </c>
      <c r="AD102" s="2">
        <v>0</v>
      </c>
    </row>
    <row r="103" spans="1:30" x14ac:dyDescent="0.35">
      <c r="A103" t="s">
        <v>82</v>
      </c>
      <c r="B103" t="s">
        <v>410</v>
      </c>
      <c r="C103" t="s">
        <v>31</v>
      </c>
      <c r="D103" s="23" t="s">
        <v>2448</v>
      </c>
      <c r="E103" s="1">
        <v>45223</v>
      </c>
      <c r="F103" s="3">
        <v>2023</v>
      </c>
      <c r="G103" s="1">
        <v>45223</v>
      </c>
      <c r="H103" t="s">
        <v>50</v>
      </c>
      <c r="I103" t="s">
        <v>51</v>
      </c>
      <c r="J103" t="s">
        <v>183</v>
      </c>
      <c r="K103" t="s">
        <v>35</v>
      </c>
      <c r="L103" s="1">
        <v>44562</v>
      </c>
      <c r="M103" t="s">
        <v>35</v>
      </c>
      <c r="O103">
        <v>0</v>
      </c>
      <c r="P103" t="s">
        <v>36</v>
      </c>
      <c r="Q103" t="s">
        <v>93</v>
      </c>
      <c r="R103" s="2">
        <v>702.36</v>
      </c>
      <c r="S103" s="2">
        <v>0</v>
      </c>
      <c r="T103" s="2">
        <v>34.64</v>
      </c>
      <c r="U103" s="2">
        <v>737</v>
      </c>
      <c r="V103" s="2">
        <v>702.36</v>
      </c>
      <c r="W103" s="2">
        <v>0</v>
      </c>
      <c r="X103" s="2">
        <v>34.64</v>
      </c>
      <c r="Y103" s="2">
        <v>737</v>
      </c>
      <c r="Z103" s="2">
        <v>0</v>
      </c>
      <c r="AA103" s="2">
        <v>0</v>
      </c>
      <c r="AB103" s="2">
        <v>0</v>
      </c>
      <c r="AC103" s="2">
        <v>0</v>
      </c>
      <c r="AD103" s="2">
        <v>0</v>
      </c>
    </row>
    <row r="104" spans="1:30" x14ac:dyDescent="0.35">
      <c r="A104" t="s">
        <v>82</v>
      </c>
      <c r="B104" t="s">
        <v>414</v>
      </c>
      <c r="C104" t="s">
        <v>31</v>
      </c>
      <c r="D104" s="23" t="s">
        <v>2448</v>
      </c>
      <c r="E104" s="1">
        <v>45223</v>
      </c>
      <c r="F104" s="3">
        <v>2023</v>
      </c>
      <c r="G104" s="1">
        <v>45223</v>
      </c>
      <c r="H104" t="s">
        <v>148</v>
      </c>
      <c r="I104" t="s">
        <v>69</v>
      </c>
      <c r="J104" t="s">
        <v>128</v>
      </c>
      <c r="K104" s="1">
        <v>45286</v>
      </c>
      <c r="L104" s="1">
        <v>45174</v>
      </c>
      <c r="M104" t="s">
        <v>35</v>
      </c>
      <c r="O104">
        <v>0</v>
      </c>
      <c r="P104" t="s">
        <v>36</v>
      </c>
      <c r="Q104" t="s">
        <v>93</v>
      </c>
      <c r="R104" s="2">
        <v>949.3</v>
      </c>
      <c r="S104" s="2">
        <v>0</v>
      </c>
      <c r="T104" s="2">
        <v>2162.25</v>
      </c>
      <c r="U104" s="2">
        <v>3111.55</v>
      </c>
      <c r="V104" s="2">
        <v>949.3</v>
      </c>
      <c r="W104" s="2">
        <v>0</v>
      </c>
      <c r="X104" s="2">
        <v>2162.25</v>
      </c>
      <c r="Y104" s="2">
        <v>3111.55</v>
      </c>
      <c r="Z104" s="2">
        <v>0</v>
      </c>
      <c r="AA104" s="2">
        <v>0</v>
      </c>
      <c r="AB104" s="2">
        <v>0</v>
      </c>
      <c r="AC104" s="2">
        <v>0</v>
      </c>
      <c r="AD104" s="2">
        <v>0</v>
      </c>
    </row>
    <row r="105" spans="1:30" x14ac:dyDescent="0.35">
      <c r="A105" t="s">
        <v>82</v>
      </c>
      <c r="B105" t="s">
        <v>489</v>
      </c>
      <c r="C105" t="s">
        <v>31</v>
      </c>
      <c r="D105" s="23" t="s">
        <v>2448</v>
      </c>
      <c r="E105" s="1">
        <v>45223</v>
      </c>
      <c r="F105" s="3">
        <v>2023</v>
      </c>
      <c r="G105" s="1">
        <v>45223</v>
      </c>
      <c r="H105" t="s">
        <v>249</v>
      </c>
      <c r="I105" t="s">
        <v>85</v>
      </c>
      <c r="J105" t="s">
        <v>86</v>
      </c>
      <c r="K105" s="1">
        <v>45684</v>
      </c>
      <c r="L105" s="1">
        <v>43344</v>
      </c>
      <c r="M105" s="1">
        <v>45684</v>
      </c>
      <c r="O105">
        <v>0</v>
      </c>
      <c r="P105" t="s">
        <v>36</v>
      </c>
      <c r="Q105" t="s">
        <v>37</v>
      </c>
      <c r="R105" s="2">
        <v>3107.05</v>
      </c>
      <c r="S105" s="2">
        <v>0</v>
      </c>
      <c r="T105" s="2">
        <v>61.51</v>
      </c>
      <c r="U105" s="2">
        <v>3168.56</v>
      </c>
      <c r="V105" s="2">
        <v>3107.05</v>
      </c>
      <c r="W105" s="2">
        <v>0</v>
      </c>
      <c r="X105" s="2">
        <v>61.51</v>
      </c>
      <c r="Y105" s="2">
        <v>3168.56</v>
      </c>
      <c r="Z105" s="2">
        <v>0</v>
      </c>
      <c r="AA105" s="2">
        <v>0</v>
      </c>
      <c r="AB105" s="2">
        <v>0</v>
      </c>
      <c r="AC105" s="2">
        <v>0</v>
      </c>
      <c r="AD105" s="2">
        <v>0</v>
      </c>
    </row>
    <row r="106" spans="1:30" x14ac:dyDescent="0.35">
      <c r="A106" t="s">
        <v>90</v>
      </c>
      <c r="B106" t="s">
        <v>244</v>
      </c>
      <c r="C106" t="s">
        <v>31</v>
      </c>
      <c r="D106" s="23" t="s">
        <v>2448</v>
      </c>
      <c r="E106" s="1">
        <v>45229</v>
      </c>
      <c r="F106" s="3">
        <v>2023</v>
      </c>
      <c r="G106" s="1">
        <v>45232</v>
      </c>
      <c r="H106" t="s">
        <v>245</v>
      </c>
      <c r="I106" t="s">
        <v>246</v>
      </c>
      <c r="J106" t="s">
        <v>247</v>
      </c>
      <c r="K106" s="1">
        <v>45461</v>
      </c>
      <c r="L106" s="1">
        <v>44562</v>
      </c>
      <c r="M106" t="s">
        <v>35</v>
      </c>
      <c r="O106">
        <v>0</v>
      </c>
      <c r="P106" t="s">
        <v>64</v>
      </c>
      <c r="Q106" t="s">
        <v>65</v>
      </c>
      <c r="R106" s="2">
        <v>5947.35</v>
      </c>
      <c r="S106" s="2">
        <v>11618.35</v>
      </c>
      <c r="T106" s="2">
        <v>1800.59</v>
      </c>
      <c r="U106" s="2">
        <v>19366.29</v>
      </c>
      <c r="V106" s="2">
        <v>5947.35</v>
      </c>
      <c r="W106" s="2">
        <v>11618.35</v>
      </c>
      <c r="X106" s="2">
        <v>1800.59</v>
      </c>
      <c r="Y106" s="2">
        <v>19366.29</v>
      </c>
      <c r="Z106" s="2">
        <v>0</v>
      </c>
      <c r="AA106" s="2">
        <v>0</v>
      </c>
      <c r="AB106" s="2">
        <v>0</v>
      </c>
      <c r="AC106" s="2">
        <v>0</v>
      </c>
      <c r="AD106" s="2">
        <v>0</v>
      </c>
    </row>
    <row r="107" spans="1:30" x14ac:dyDescent="0.35">
      <c r="A107" t="s">
        <v>82</v>
      </c>
      <c r="B107" t="s">
        <v>405</v>
      </c>
      <c r="C107" t="s">
        <v>31</v>
      </c>
      <c r="D107" s="23" t="s">
        <v>2448</v>
      </c>
      <c r="E107" s="1">
        <v>45229</v>
      </c>
      <c r="F107" s="3">
        <v>2023</v>
      </c>
      <c r="G107" s="1">
        <v>45233</v>
      </c>
      <c r="H107" t="s">
        <v>406</v>
      </c>
      <c r="I107" t="s">
        <v>51</v>
      </c>
      <c r="J107" t="s">
        <v>40</v>
      </c>
      <c r="K107" s="1">
        <v>45891</v>
      </c>
      <c r="L107" s="1">
        <v>44409</v>
      </c>
      <c r="M107" s="1">
        <v>45243</v>
      </c>
      <c r="N107" t="s">
        <v>58</v>
      </c>
      <c r="O107">
        <v>364</v>
      </c>
      <c r="P107" t="s">
        <v>36</v>
      </c>
      <c r="Q107" t="s">
        <v>407</v>
      </c>
      <c r="R107" s="2">
        <v>62496.47</v>
      </c>
      <c r="S107" s="2">
        <v>99919.32</v>
      </c>
      <c r="T107" s="2">
        <v>21204.61</v>
      </c>
      <c r="U107" s="2">
        <v>183620.4</v>
      </c>
      <c r="V107" s="2">
        <v>62496.47</v>
      </c>
      <c r="W107" s="2">
        <v>99919.32</v>
      </c>
      <c r="X107" s="2">
        <v>21204.61</v>
      </c>
      <c r="Y107" s="2">
        <v>183620.4</v>
      </c>
      <c r="Z107" s="2">
        <v>0</v>
      </c>
      <c r="AA107" s="2">
        <v>0</v>
      </c>
      <c r="AB107" s="2">
        <v>0</v>
      </c>
      <c r="AC107" s="2">
        <v>0</v>
      </c>
      <c r="AD107" s="2">
        <v>-11.17</v>
      </c>
    </row>
    <row r="108" spans="1:30" x14ac:dyDescent="0.35">
      <c r="A108" t="s">
        <v>38</v>
      </c>
      <c r="B108" t="s">
        <v>408</v>
      </c>
      <c r="C108" t="s">
        <v>31</v>
      </c>
      <c r="D108" s="23" t="s">
        <v>2448</v>
      </c>
      <c r="E108" s="1">
        <v>45240</v>
      </c>
      <c r="F108" s="3">
        <v>2023</v>
      </c>
      <c r="G108" s="1">
        <v>45240</v>
      </c>
      <c r="H108" t="s">
        <v>84</v>
      </c>
      <c r="I108" t="s">
        <v>85</v>
      </c>
      <c r="J108" t="s">
        <v>381</v>
      </c>
      <c r="K108" s="1">
        <v>45345</v>
      </c>
      <c r="L108" s="1">
        <v>45040</v>
      </c>
      <c r="M108" t="s">
        <v>35</v>
      </c>
      <c r="O108">
        <v>91</v>
      </c>
      <c r="P108" t="s">
        <v>47</v>
      </c>
      <c r="Q108" t="s">
        <v>126</v>
      </c>
      <c r="R108" s="2">
        <v>3009.8</v>
      </c>
      <c r="S108" s="2">
        <v>9995.44</v>
      </c>
      <c r="T108" s="2">
        <v>4301.3900000000003</v>
      </c>
      <c r="U108" s="2">
        <v>17306.63</v>
      </c>
      <c r="V108" s="2">
        <v>3009.8</v>
      </c>
      <c r="W108" s="2">
        <v>9995.44</v>
      </c>
      <c r="X108" s="2">
        <v>4301.3900000000003</v>
      </c>
      <c r="Y108" s="2">
        <v>17306.63</v>
      </c>
      <c r="Z108" s="2">
        <v>0</v>
      </c>
      <c r="AA108" s="2">
        <v>0</v>
      </c>
      <c r="AB108" s="2">
        <v>0</v>
      </c>
      <c r="AC108" s="2">
        <v>0</v>
      </c>
      <c r="AD108" s="2">
        <v>0</v>
      </c>
    </row>
    <row r="109" spans="1:30" x14ac:dyDescent="0.35">
      <c r="A109" t="s">
        <v>29</v>
      </c>
      <c r="B109" t="s">
        <v>102</v>
      </c>
      <c r="C109" t="s">
        <v>31</v>
      </c>
      <c r="D109" s="23" t="s">
        <v>2448</v>
      </c>
      <c r="E109" s="1">
        <v>45251</v>
      </c>
      <c r="F109" s="3">
        <v>2023</v>
      </c>
      <c r="G109" s="1">
        <v>45251</v>
      </c>
      <c r="H109" t="s">
        <v>32</v>
      </c>
      <c r="I109" t="s">
        <v>33</v>
      </c>
      <c r="J109" t="s">
        <v>103</v>
      </c>
      <c r="K109" s="1">
        <v>45266</v>
      </c>
      <c r="L109" s="1">
        <v>44521</v>
      </c>
      <c r="M109" t="s">
        <v>35</v>
      </c>
      <c r="O109">
        <v>6</v>
      </c>
      <c r="P109" t="s">
        <v>36</v>
      </c>
      <c r="Q109" t="s">
        <v>59</v>
      </c>
      <c r="R109" s="2">
        <v>771.94</v>
      </c>
      <c r="S109" s="2">
        <v>721.02</v>
      </c>
      <c r="T109" s="2">
        <v>310.61</v>
      </c>
      <c r="U109" s="2">
        <v>1803.57</v>
      </c>
      <c r="V109" s="2">
        <v>771.94</v>
      </c>
      <c r="W109" s="2">
        <v>721.02</v>
      </c>
      <c r="X109" s="2">
        <v>310.61</v>
      </c>
      <c r="Y109" s="2">
        <v>1803.57</v>
      </c>
      <c r="Z109" s="2">
        <v>0</v>
      </c>
      <c r="AA109" s="2">
        <v>0</v>
      </c>
      <c r="AB109" s="2">
        <v>0</v>
      </c>
      <c r="AC109" s="2">
        <v>0</v>
      </c>
      <c r="AD109" s="2">
        <v>0</v>
      </c>
    </row>
    <row r="110" spans="1:30" x14ac:dyDescent="0.35">
      <c r="A110" t="s">
        <v>134</v>
      </c>
      <c r="B110" t="s">
        <v>491</v>
      </c>
      <c r="C110" t="s">
        <v>31</v>
      </c>
      <c r="D110" s="23" t="s">
        <v>2448</v>
      </c>
      <c r="E110" s="1">
        <v>45265</v>
      </c>
      <c r="F110" s="3">
        <v>2023</v>
      </c>
      <c r="G110" s="1">
        <v>45273</v>
      </c>
      <c r="H110" t="s">
        <v>84</v>
      </c>
      <c r="I110" t="s">
        <v>85</v>
      </c>
      <c r="J110" t="s">
        <v>40</v>
      </c>
      <c r="K110" s="1">
        <v>45835</v>
      </c>
      <c r="L110" s="1">
        <v>45006</v>
      </c>
      <c r="M110" t="s">
        <v>35</v>
      </c>
      <c r="O110">
        <v>0</v>
      </c>
      <c r="P110" t="s">
        <v>36</v>
      </c>
      <c r="Q110" t="s">
        <v>93</v>
      </c>
      <c r="R110" s="2">
        <v>5501.27</v>
      </c>
      <c r="S110" s="2">
        <v>0</v>
      </c>
      <c r="T110" s="2">
        <v>16121.51</v>
      </c>
      <c r="U110" s="2">
        <v>21622.78</v>
      </c>
      <c r="V110" s="2">
        <v>5501.27</v>
      </c>
      <c r="W110" s="2">
        <v>0</v>
      </c>
      <c r="X110" s="2">
        <v>16121.51</v>
      </c>
      <c r="Y110" s="2">
        <v>21622.78</v>
      </c>
      <c r="Z110" s="2">
        <v>0</v>
      </c>
      <c r="AA110" s="2">
        <v>0</v>
      </c>
      <c r="AB110" s="2">
        <v>0</v>
      </c>
      <c r="AC110" s="2">
        <v>0</v>
      </c>
      <c r="AD110" s="2">
        <v>-7000</v>
      </c>
    </row>
    <row r="111" spans="1:30" x14ac:dyDescent="0.35">
      <c r="A111" t="s">
        <v>99</v>
      </c>
      <c r="B111" t="s">
        <v>100</v>
      </c>
      <c r="C111" t="s">
        <v>31</v>
      </c>
      <c r="D111" s="23" t="s">
        <v>2448</v>
      </c>
      <c r="E111" s="1">
        <v>45266</v>
      </c>
      <c r="F111" s="3">
        <v>2023</v>
      </c>
      <c r="G111" s="1">
        <v>45268</v>
      </c>
      <c r="H111" t="s">
        <v>32</v>
      </c>
      <c r="I111" t="s">
        <v>33</v>
      </c>
      <c r="J111" t="s">
        <v>101</v>
      </c>
      <c r="K111" s="1">
        <v>45784</v>
      </c>
      <c r="L111" s="1">
        <v>44490</v>
      </c>
      <c r="M111" s="1">
        <v>45272</v>
      </c>
      <c r="N111" t="s">
        <v>58</v>
      </c>
      <c r="O111">
        <v>503</v>
      </c>
      <c r="P111" t="s">
        <v>36</v>
      </c>
      <c r="Q111" t="s">
        <v>65</v>
      </c>
      <c r="R111" s="2">
        <v>16929.79</v>
      </c>
      <c r="S111" s="2">
        <v>166799.72</v>
      </c>
      <c r="T111" s="2">
        <v>21024.1</v>
      </c>
      <c r="U111" s="2">
        <v>204753.61</v>
      </c>
      <c r="V111" s="2">
        <v>16929.79</v>
      </c>
      <c r="W111" s="2">
        <v>166799.72</v>
      </c>
      <c r="X111" s="2">
        <v>21024.1</v>
      </c>
      <c r="Y111" s="2">
        <v>204753.61</v>
      </c>
      <c r="Z111" s="2">
        <v>0</v>
      </c>
      <c r="AA111" s="2">
        <v>0</v>
      </c>
      <c r="AB111" s="2">
        <v>0</v>
      </c>
      <c r="AC111" s="2">
        <v>0</v>
      </c>
      <c r="AD111" s="2">
        <v>0</v>
      </c>
    </row>
    <row r="112" spans="1:30" x14ac:dyDescent="0.35">
      <c r="A112" t="s">
        <v>38</v>
      </c>
      <c r="B112" t="s">
        <v>317</v>
      </c>
      <c r="C112" t="s">
        <v>31</v>
      </c>
      <c r="D112" s="23" t="s">
        <v>2448</v>
      </c>
      <c r="E112" s="1">
        <v>45278</v>
      </c>
      <c r="F112" s="3">
        <v>2023</v>
      </c>
      <c r="G112" s="1">
        <v>45293</v>
      </c>
      <c r="H112" t="s">
        <v>208</v>
      </c>
      <c r="I112" t="s">
        <v>69</v>
      </c>
      <c r="J112" t="s">
        <v>40</v>
      </c>
      <c r="K112" s="1">
        <v>45733</v>
      </c>
      <c r="L112" s="1">
        <v>42675</v>
      </c>
      <c r="M112" s="1">
        <v>45708</v>
      </c>
      <c r="O112">
        <v>0</v>
      </c>
      <c r="P112" t="s">
        <v>64</v>
      </c>
      <c r="Q112" t="s">
        <v>191</v>
      </c>
      <c r="R112" s="2">
        <v>604.75</v>
      </c>
      <c r="S112" s="2">
        <v>0</v>
      </c>
      <c r="T112" s="2">
        <v>5231.75</v>
      </c>
      <c r="U112" s="2">
        <v>5836.5</v>
      </c>
      <c r="V112" s="2">
        <v>604.75</v>
      </c>
      <c r="W112" s="2">
        <v>0</v>
      </c>
      <c r="X112" s="2">
        <v>5231.75</v>
      </c>
      <c r="Y112" s="2">
        <v>5836.5</v>
      </c>
      <c r="Z112" s="2">
        <v>0</v>
      </c>
      <c r="AA112" s="2">
        <v>0</v>
      </c>
      <c r="AB112" s="2">
        <v>0</v>
      </c>
      <c r="AC112" s="2">
        <v>0</v>
      </c>
      <c r="AD112" s="2">
        <v>0</v>
      </c>
    </row>
    <row r="113" spans="1:30" x14ac:dyDescent="0.35">
      <c r="A113" t="s">
        <v>38</v>
      </c>
      <c r="B113" t="s">
        <v>377</v>
      </c>
      <c r="C113" t="s">
        <v>31</v>
      </c>
      <c r="D113" s="23" t="s">
        <v>2448</v>
      </c>
      <c r="E113" s="1">
        <v>45294</v>
      </c>
      <c r="F113" s="3">
        <v>2023</v>
      </c>
      <c r="G113" s="1">
        <v>45307</v>
      </c>
      <c r="H113" t="s">
        <v>211</v>
      </c>
      <c r="I113" t="s">
        <v>212</v>
      </c>
      <c r="J113" t="s">
        <v>378</v>
      </c>
      <c r="K113" s="1">
        <v>45336</v>
      </c>
      <c r="L113" s="1">
        <v>42080</v>
      </c>
      <c r="M113" t="s">
        <v>35</v>
      </c>
      <c r="O113">
        <v>0</v>
      </c>
      <c r="P113" t="s">
        <v>47</v>
      </c>
      <c r="Q113" t="s">
        <v>113</v>
      </c>
      <c r="R113" s="2">
        <v>1269.9000000000001</v>
      </c>
      <c r="S113" s="2">
        <v>0</v>
      </c>
      <c r="T113" s="2">
        <v>99.97</v>
      </c>
      <c r="U113" s="2">
        <v>1369.87</v>
      </c>
      <c r="V113" s="2">
        <v>1269.9000000000001</v>
      </c>
      <c r="W113" s="2">
        <v>0</v>
      </c>
      <c r="X113" s="2">
        <v>99.97</v>
      </c>
      <c r="Y113" s="2">
        <v>1369.87</v>
      </c>
      <c r="Z113" s="2">
        <v>0</v>
      </c>
      <c r="AA113" s="2">
        <v>0</v>
      </c>
      <c r="AB113" s="2">
        <v>0</v>
      </c>
      <c r="AC113" s="2">
        <v>0</v>
      </c>
      <c r="AD113" s="2">
        <v>0</v>
      </c>
    </row>
    <row r="114" spans="1:30" x14ac:dyDescent="0.35">
      <c r="A114" t="s">
        <v>38</v>
      </c>
      <c r="B114" t="s">
        <v>193</v>
      </c>
      <c r="C114" t="s">
        <v>31</v>
      </c>
      <c r="D114" s="23" t="s">
        <v>2448</v>
      </c>
      <c r="E114" s="1">
        <v>45324</v>
      </c>
      <c r="F114" s="3">
        <v>2023</v>
      </c>
      <c r="G114" s="1">
        <v>45357</v>
      </c>
      <c r="H114" t="s">
        <v>61</v>
      </c>
      <c r="I114" t="s">
        <v>194</v>
      </c>
      <c r="J114" t="s">
        <v>128</v>
      </c>
      <c r="K114" t="s">
        <v>35</v>
      </c>
      <c r="L114" s="1">
        <v>29772</v>
      </c>
      <c r="M114" t="s">
        <v>35</v>
      </c>
      <c r="O114">
        <v>0</v>
      </c>
      <c r="P114" t="s">
        <v>64</v>
      </c>
      <c r="Q114" t="s">
        <v>151</v>
      </c>
      <c r="R114" s="2">
        <v>598.28</v>
      </c>
      <c r="S114" s="2">
        <v>0</v>
      </c>
      <c r="T114" s="2">
        <v>27.7</v>
      </c>
      <c r="U114" s="2">
        <v>625.98</v>
      </c>
      <c r="V114" s="2">
        <v>598.28</v>
      </c>
      <c r="W114" s="2">
        <v>0</v>
      </c>
      <c r="X114" s="2">
        <v>27.7</v>
      </c>
      <c r="Y114" s="2">
        <v>625.98</v>
      </c>
      <c r="Z114" s="2">
        <v>0</v>
      </c>
      <c r="AA114" s="2">
        <v>0</v>
      </c>
      <c r="AB114" s="2">
        <v>0</v>
      </c>
      <c r="AC114" s="2">
        <v>0</v>
      </c>
      <c r="AD114" s="2">
        <v>0</v>
      </c>
    </row>
    <row r="115" spans="1:30" x14ac:dyDescent="0.35">
      <c r="A115" t="s">
        <v>271</v>
      </c>
      <c r="B115" t="s">
        <v>289</v>
      </c>
      <c r="C115" t="s">
        <v>31</v>
      </c>
      <c r="D115" s="23" t="s">
        <v>2448</v>
      </c>
      <c r="E115" s="1">
        <v>45324</v>
      </c>
      <c r="F115" s="3">
        <v>2023</v>
      </c>
      <c r="G115" s="1">
        <v>45329</v>
      </c>
      <c r="H115" t="s">
        <v>84</v>
      </c>
      <c r="I115" t="s">
        <v>85</v>
      </c>
      <c r="J115" t="s">
        <v>290</v>
      </c>
      <c r="K115" s="1">
        <v>45594</v>
      </c>
      <c r="L115" s="1">
        <v>44805</v>
      </c>
      <c r="M115" s="1">
        <v>45331</v>
      </c>
      <c r="O115">
        <v>14</v>
      </c>
      <c r="P115" t="s">
        <v>273</v>
      </c>
      <c r="Q115" t="s">
        <v>113</v>
      </c>
      <c r="R115" s="2">
        <v>8705.27</v>
      </c>
      <c r="S115" s="2">
        <v>2369.19</v>
      </c>
      <c r="T115" s="2">
        <v>1551.84</v>
      </c>
      <c r="U115" s="2">
        <v>12626.3</v>
      </c>
      <c r="V115" s="2">
        <v>8705.27</v>
      </c>
      <c r="W115" s="2">
        <v>2369.19</v>
      </c>
      <c r="X115" s="2">
        <v>1551.84</v>
      </c>
      <c r="Y115" s="2">
        <v>12626.3</v>
      </c>
      <c r="Z115" s="2">
        <v>0</v>
      </c>
      <c r="AA115" s="2">
        <v>0</v>
      </c>
      <c r="AB115" s="2">
        <v>0</v>
      </c>
      <c r="AC115" s="2">
        <v>0</v>
      </c>
      <c r="AD115" s="2">
        <v>0</v>
      </c>
    </row>
    <row r="116" spans="1:30" x14ac:dyDescent="0.35">
      <c r="A116" t="s">
        <v>82</v>
      </c>
      <c r="B116" t="s">
        <v>492</v>
      </c>
      <c r="C116" t="s">
        <v>31</v>
      </c>
      <c r="D116" s="23" t="s">
        <v>2448</v>
      </c>
      <c r="E116" s="1">
        <v>45324</v>
      </c>
      <c r="F116" s="3">
        <v>2023</v>
      </c>
      <c r="G116" s="1">
        <v>45327</v>
      </c>
      <c r="H116" t="s">
        <v>84</v>
      </c>
      <c r="I116" t="s">
        <v>85</v>
      </c>
      <c r="J116" t="s">
        <v>165</v>
      </c>
      <c r="K116" t="s">
        <v>35</v>
      </c>
      <c r="L116" s="1">
        <v>44788</v>
      </c>
      <c r="M116" t="s">
        <v>35</v>
      </c>
      <c r="O116">
        <v>0</v>
      </c>
      <c r="P116" t="s">
        <v>64</v>
      </c>
      <c r="Q116" t="s">
        <v>53</v>
      </c>
      <c r="R116" s="2">
        <v>540.77</v>
      </c>
      <c r="S116" s="2">
        <v>0</v>
      </c>
      <c r="T116" s="2">
        <v>16.600000000000001</v>
      </c>
      <c r="U116" s="2">
        <v>557.37</v>
      </c>
      <c r="V116" s="2">
        <v>540.77</v>
      </c>
      <c r="W116" s="2">
        <v>0</v>
      </c>
      <c r="X116" s="2">
        <v>16.600000000000001</v>
      </c>
      <c r="Y116" s="2">
        <v>557.37</v>
      </c>
      <c r="Z116" s="2">
        <v>0</v>
      </c>
      <c r="AA116" s="2">
        <v>0</v>
      </c>
      <c r="AB116" s="2">
        <v>0</v>
      </c>
      <c r="AC116" s="2">
        <v>0</v>
      </c>
      <c r="AD116" s="2">
        <v>0</v>
      </c>
    </row>
    <row r="117" spans="1:30" x14ac:dyDescent="0.35">
      <c r="A117" t="s">
        <v>88</v>
      </c>
      <c r="B117" t="s">
        <v>487</v>
      </c>
      <c r="C117" t="s">
        <v>132</v>
      </c>
      <c r="D117" s="23" t="s">
        <v>2448</v>
      </c>
      <c r="E117" s="1">
        <v>45325</v>
      </c>
      <c r="F117" s="3">
        <v>2023</v>
      </c>
      <c r="G117" s="1">
        <v>45325</v>
      </c>
      <c r="H117" t="s">
        <v>249</v>
      </c>
      <c r="I117" t="s">
        <v>85</v>
      </c>
      <c r="J117" t="s">
        <v>40</v>
      </c>
      <c r="K117" t="s">
        <v>35</v>
      </c>
      <c r="L117" s="1">
        <v>45325</v>
      </c>
      <c r="M117" s="1">
        <v>45334</v>
      </c>
      <c r="O117">
        <v>0</v>
      </c>
      <c r="P117" t="s">
        <v>64</v>
      </c>
      <c r="Q117" t="s">
        <v>280</v>
      </c>
      <c r="R117" s="2">
        <v>21076</v>
      </c>
      <c r="S117" s="2">
        <v>0</v>
      </c>
      <c r="T117" s="2">
        <v>6646</v>
      </c>
      <c r="U117" s="2">
        <v>27722</v>
      </c>
      <c r="V117" s="2">
        <v>20775.45</v>
      </c>
      <c r="W117" s="2">
        <v>0</v>
      </c>
      <c r="X117" s="2">
        <v>6170.96</v>
      </c>
      <c r="Y117" s="2">
        <v>26946.41</v>
      </c>
      <c r="Z117" s="2">
        <v>300.55</v>
      </c>
      <c r="AA117" s="2">
        <v>0</v>
      </c>
      <c r="AB117" s="2">
        <v>475.04</v>
      </c>
      <c r="AC117" s="2">
        <v>775.59</v>
      </c>
      <c r="AD117" s="2">
        <v>0</v>
      </c>
    </row>
    <row r="118" spans="1:30" x14ac:dyDescent="0.35">
      <c r="A118" t="s">
        <v>82</v>
      </c>
      <c r="B118" t="s">
        <v>478</v>
      </c>
      <c r="C118" t="s">
        <v>31</v>
      </c>
      <c r="D118" s="23" t="s">
        <v>2448</v>
      </c>
      <c r="E118" s="1">
        <v>45327</v>
      </c>
      <c r="F118" s="3">
        <v>2023</v>
      </c>
      <c r="G118" s="1">
        <v>45335</v>
      </c>
      <c r="H118" t="s">
        <v>208</v>
      </c>
      <c r="I118" t="s">
        <v>69</v>
      </c>
      <c r="J118" t="s">
        <v>183</v>
      </c>
      <c r="K118" t="s">
        <v>35</v>
      </c>
      <c r="L118" s="1">
        <v>44942</v>
      </c>
      <c r="M118" t="s">
        <v>35</v>
      </c>
      <c r="O118">
        <v>0</v>
      </c>
      <c r="P118" t="s">
        <v>36</v>
      </c>
      <c r="Q118" t="s">
        <v>37</v>
      </c>
      <c r="R118" s="2">
        <v>1261.73</v>
      </c>
      <c r="S118" s="2">
        <v>0</v>
      </c>
      <c r="T118" s="2">
        <v>217.17</v>
      </c>
      <c r="U118" s="2">
        <v>1478.9</v>
      </c>
      <c r="V118" s="2">
        <v>1261.73</v>
      </c>
      <c r="W118" s="2">
        <v>0</v>
      </c>
      <c r="X118" s="2">
        <v>217.17</v>
      </c>
      <c r="Y118" s="2">
        <v>1478.9</v>
      </c>
      <c r="Z118" s="2">
        <v>0</v>
      </c>
      <c r="AA118" s="2">
        <v>0</v>
      </c>
      <c r="AB118" s="2">
        <v>0</v>
      </c>
      <c r="AC118" s="2">
        <v>0</v>
      </c>
      <c r="AD118" s="2">
        <v>0</v>
      </c>
    </row>
    <row r="119" spans="1:30" x14ac:dyDescent="0.35">
      <c r="A119" t="s">
        <v>38</v>
      </c>
      <c r="B119" t="s">
        <v>154</v>
      </c>
      <c r="C119" t="s">
        <v>31</v>
      </c>
      <c r="D119" s="23" t="s">
        <v>2448</v>
      </c>
      <c r="E119" s="1">
        <v>45329</v>
      </c>
      <c r="F119" s="3">
        <v>2023</v>
      </c>
      <c r="G119" s="1">
        <v>45330</v>
      </c>
      <c r="H119" t="s">
        <v>68</v>
      </c>
      <c r="I119" t="s">
        <v>69</v>
      </c>
      <c r="J119" t="s">
        <v>155</v>
      </c>
      <c r="K119" t="s">
        <v>35</v>
      </c>
      <c r="L119" s="1">
        <v>45329</v>
      </c>
      <c r="M119" t="s">
        <v>35</v>
      </c>
      <c r="O119">
        <v>0</v>
      </c>
      <c r="P119" t="s">
        <v>156</v>
      </c>
      <c r="Q119" t="s">
        <v>126</v>
      </c>
      <c r="R119" s="2">
        <v>908.46</v>
      </c>
      <c r="S119" s="2">
        <v>0</v>
      </c>
      <c r="T119" s="2">
        <v>31.45</v>
      </c>
      <c r="U119" s="2">
        <v>939.91</v>
      </c>
      <c r="V119" s="2">
        <v>908.46</v>
      </c>
      <c r="W119" s="2">
        <v>0</v>
      </c>
      <c r="X119" s="2">
        <v>31.45</v>
      </c>
      <c r="Y119" s="2">
        <v>939.91</v>
      </c>
      <c r="Z119" s="2">
        <v>0</v>
      </c>
      <c r="AA119" s="2">
        <v>0</v>
      </c>
      <c r="AB119" s="2">
        <v>0</v>
      </c>
      <c r="AC119" s="2">
        <v>0</v>
      </c>
      <c r="AD119" s="2">
        <v>0</v>
      </c>
    </row>
    <row r="120" spans="1:30" x14ac:dyDescent="0.35">
      <c r="A120" t="s">
        <v>38</v>
      </c>
      <c r="B120" t="s">
        <v>425</v>
      </c>
      <c r="C120" t="s">
        <v>31</v>
      </c>
      <c r="D120" s="23" t="s">
        <v>2448</v>
      </c>
      <c r="E120" s="1">
        <v>45335</v>
      </c>
      <c r="F120" s="3">
        <v>2023</v>
      </c>
      <c r="G120" s="1">
        <v>45336</v>
      </c>
      <c r="H120" t="s">
        <v>164</v>
      </c>
      <c r="I120" t="s">
        <v>51</v>
      </c>
      <c r="J120" t="s">
        <v>309</v>
      </c>
      <c r="K120" s="1">
        <v>45366</v>
      </c>
      <c r="L120" s="1">
        <v>44767</v>
      </c>
      <c r="M120" t="s">
        <v>35</v>
      </c>
      <c r="O120">
        <v>0</v>
      </c>
      <c r="P120" t="s">
        <v>36</v>
      </c>
      <c r="Q120" t="s">
        <v>65</v>
      </c>
      <c r="R120" s="2">
        <v>800.72</v>
      </c>
      <c r="S120" s="2">
        <v>0</v>
      </c>
      <c r="T120" s="2">
        <v>25.79</v>
      </c>
      <c r="U120" s="2">
        <v>826.51</v>
      </c>
      <c r="V120" s="2">
        <v>800.72</v>
      </c>
      <c r="W120" s="2">
        <v>0</v>
      </c>
      <c r="X120" s="2">
        <v>25.79</v>
      </c>
      <c r="Y120" s="2">
        <v>826.51</v>
      </c>
      <c r="Z120" s="2">
        <v>0</v>
      </c>
      <c r="AA120" s="2">
        <v>0</v>
      </c>
      <c r="AB120" s="2">
        <v>0</v>
      </c>
      <c r="AC120" s="2">
        <v>0</v>
      </c>
      <c r="AD120" s="2">
        <v>0</v>
      </c>
    </row>
    <row r="121" spans="1:30" x14ac:dyDescent="0.35">
      <c r="A121" t="s">
        <v>29</v>
      </c>
      <c r="B121" t="s">
        <v>359</v>
      </c>
      <c r="C121" t="s">
        <v>31</v>
      </c>
      <c r="D121" s="23" t="s">
        <v>2448</v>
      </c>
      <c r="E121" s="1">
        <v>45342</v>
      </c>
      <c r="F121" s="3">
        <v>2023</v>
      </c>
      <c r="G121" s="1">
        <v>45350</v>
      </c>
      <c r="H121" t="s">
        <v>249</v>
      </c>
      <c r="I121" t="s">
        <v>85</v>
      </c>
      <c r="J121" t="s">
        <v>170</v>
      </c>
      <c r="K121" s="1">
        <v>45397</v>
      </c>
      <c r="L121" s="1">
        <v>44652</v>
      </c>
      <c r="M121" t="s">
        <v>35</v>
      </c>
      <c r="O121">
        <v>0</v>
      </c>
      <c r="P121" t="s">
        <v>36</v>
      </c>
      <c r="Q121" t="s">
        <v>93</v>
      </c>
      <c r="R121" s="2">
        <v>2603.5700000000002</v>
      </c>
      <c r="S121" s="2">
        <v>0</v>
      </c>
      <c r="T121" s="2">
        <v>109.96</v>
      </c>
      <c r="U121" s="2">
        <v>2713.53</v>
      </c>
      <c r="V121" s="2">
        <v>2603.5700000000002</v>
      </c>
      <c r="W121" s="2">
        <v>0</v>
      </c>
      <c r="X121" s="2">
        <v>109.96</v>
      </c>
      <c r="Y121" s="2">
        <v>2713.53</v>
      </c>
      <c r="Z121" s="2">
        <v>0</v>
      </c>
      <c r="AA121" s="2">
        <v>0</v>
      </c>
      <c r="AB121" s="2">
        <v>0</v>
      </c>
      <c r="AC121" s="2">
        <v>0</v>
      </c>
      <c r="AD121" s="2">
        <v>0</v>
      </c>
    </row>
    <row r="122" spans="1:30" x14ac:dyDescent="0.35">
      <c r="A122" t="s">
        <v>82</v>
      </c>
      <c r="B122" t="s">
        <v>233</v>
      </c>
      <c r="C122" t="s">
        <v>31</v>
      </c>
      <c r="D122" s="23" t="s">
        <v>2448</v>
      </c>
      <c r="E122" s="1">
        <v>45344</v>
      </c>
      <c r="F122" s="3">
        <v>2023</v>
      </c>
      <c r="G122" s="1">
        <v>45357</v>
      </c>
      <c r="H122" t="s">
        <v>211</v>
      </c>
      <c r="I122" t="s">
        <v>121</v>
      </c>
      <c r="J122" t="s">
        <v>234</v>
      </c>
      <c r="K122" t="s">
        <v>35</v>
      </c>
      <c r="L122" s="1">
        <v>45327</v>
      </c>
      <c r="M122" t="s">
        <v>35</v>
      </c>
      <c r="O122">
        <v>0</v>
      </c>
      <c r="P122" t="s">
        <v>187</v>
      </c>
      <c r="Q122" t="s">
        <v>235</v>
      </c>
      <c r="R122" s="2">
        <v>682.31</v>
      </c>
      <c r="S122" s="2">
        <v>0</v>
      </c>
      <c r="T122" s="2">
        <v>12.57</v>
      </c>
      <c r="U122" s="2">
        <v>694.88</v>
      </c>
      <c r="V122" s="2">
        <v>682.31</v>
      </c>
      <c r="W122" s="2">
        <v>0</v>
      </c>
      <c r="X122" s="2">
        <v>12.57</v>
      </c>
      <c r="Y122" s="2">
        <v>694.88</v>
      </c>
      <c r="Z122" s="2">
        <v>0</v>
      </c>
      <c r="AA122" s="2">
        <v>0</v>
      </c>
      <c r="AB122" s="2">
        <v>0</v>
      </c>
      <c r="AC122" s="2">
        <v>0</v>
      </c>
      <c r="AD122" s="2">
        <v>0</v>
      </c>
    </row>
    <row r="123" spans="1:30" x14ac:dyDescent="0.35">
      <c r="A123" t="s">
        <v>38</v>
      </c>
      <c r="B123" t="s">
        <v>382</v>
      </c>
      <c r="C123" t="s">
        <v>31</v>
      </c>
      <c r="D123" s="23" t="s">
        <v>2448</v>
      </c>
      <c r="E123" s="1">
        <v>45344</v>
      </c>
      <c r="F123" s="3">
        <v>2023</v>
      </c>
      <c r="G123" s="1">
        <v>45344</v>
      </c>
      <c r="H123" t="s">
        <v>144</v>
      </c>
      <c r="I123" t="s">
        <v>121</v>
      </c>
      <c r="J123" t="s">
        <v>155</v>
      </c>
      <c r="K123" s="1">
        <v>45349</v>
      </c>
      <c r="L123" s="1">
        <v>45293</v>
      </c>
      <c r="M123" t="s">
        <v>35</v>
      </c>
      <c r="O123">
        <v>0</v>
      </c>
      <c r="P123" t="s">
        <v>47</v>
      </c>
      <c r="Q123" t="s">
        <v>53</v>
      </c>
      <c r="R123" s="2">
        <v>176.26</v>
      </c>
      <c r="S123" s="2">
        <v>0</v>
      </c>
      <c r="T123" s="2">
        <v>2.78</v>
      </c>
      <c r="U123" s="2">
        <v>179.04</v>
      </c>
      <c r="V123" s="2">
        <v>176.26</v>
      </c>
      <c r="W123" s="2">
        <v>0</v>
      </c>
      <c r="X123" s="2">
        <v>2.78</v>
      </c>
      <c r="Y123" s="2">
        <v>179.04</v>
      </c>
      <c r="Z123" s="2">
        <v>0</v>
      </c>
      <c r="AA123" s="2">
        <v>0</v>
      </c>
      <c r="AB123" s="2">
        <v>0</v>
      </c>
      <c r="AC123" s="2">
        <v>0</v>
      </c>
      <c r="AD123" s="2">
        <v>0</v>
      </c>
    </row>
    <row r="124" spans="1:30" x14ac:dyDescent="0.35">
      <c r="A124" t="s">
        <v>90</v>
      </c>
      <c r="B124" t="s">
        <v>340</v>
      </c>
      <c r="C124" t="s">
        <v>31</v>
      </c>
      <c r="D124" s="23" t="s">
        <v>2448</v>
      </c>
      <c r="E124" s="1">
        <v>45349</v>
      </c>
      <c r="F124" s="3">
        <v>2023</v>
      </c>
      <c r="G124" s="1">
        <v>45366</v>
      </c>
      <c r="H124" t="s">
        <v>61</v>
      </c>
      <c r="I124" t="s">
        <v>194</v>
      </c>
      <c r="J124" t="s">
        <v>304</v>
      </c>
      <c r="K124" s="1">
        <v>45771</v>
      </c>
      <c r="L124" s="1">
        <v>44873</v>
      </c>
      <c r="M124" t="s">
        <v>35</v>
      </c>
      <c r="N124" t="s">
        <v>58</v>
      </c>
      <c r="O124">
        <v>234</v>
      </c>
      <c r="P124" t="s">
        <v>36</v>
      </c>
      <c r="Q124" t="s">
        <v>93</v>
      </c>
      <c r="R124" s="2">
        <v>31753.34</v>
      </c>
      <c r="S124" s="2">
        <v>59346.61</v>
      </c>
      <c r="T124" s="2">
        <v>18747.37</v>
      </c>
      <c r="U124" s="2">
        <v>109847.32</v>
      </c>
      <c r="V124" s="2">
        <v>31753.34</v>
      </c>
      <c r="W124" s="2">
        <v>59346.61</v>
      </c>
      <c r="X124" s="2">
        <v>18747.37</v>
      </c>
      <c r="Y124" s="2">
        <v>109847.32</v>
      </c>
      <c r="Z124" s="2">
        <v>0</v>
      </c>
      <c r="AA124" s="2">
        <v>0</v>
      </c>
      <c r="AB124" s="2">
        <v>0</v>
      </c>
      <c r="AC124" s="2">
        <v>0</v>
      </c>
      <c r="AD124" s="2">
        <v>-571.9</v>
      </c>
    </row>
    <row r="125" spans="1:30" x14ac:dyDescent="0.35">
      <c r="A125" t="s">
        <v>38</v>
      </c>
      <c r="B125" t="s">
        <v>507</v>
      </c>
      <c r="C125" t="s">
        <v>31</v>
      </c>
      <c r="D125" s="23" t="s">
        <v>2448</v>
      </c>
      <c r="E125" s="1">
        <v>45359</v>
      </c>
      <c r="F125" s="3">
        <v>2023</v>
      </c>
      <c r="G125" s="1">
        <v>45373</v>
      </c>
      <c r="H125" t="s">
        <v>138</v>
      </c>
      <c r="I125" t="s">
        <v>161</v>
      </c>
      <c r="J125" t="s">
        <v>348</v>
      </c>
      <c r="K125" s="1">
        <v>45716</v>
      </c>
      <c r="L125" s="1">
        <v>38859</v>
      </c>
      <c r="M125" s="1">
        <v>45716</v>
      </c>
      <c r="O125">
        <v>80</v>
      </c>
      <c r="P125" t="s">
        <v>36</v>
      </c>
      <c r="Q125" t="s">
        <v>65</v>
      </c>
      <c r="R125" s="2">
        <v>19703.849999999999</v>
      </c>
      <c r="S125" s="2">
        <v>13715.31</v>
      </c>
      <c r="T125" s="2">
        <v>4400.04</v>
      </c>
      <c r="U125" s="2">
        <v>37819.199999999997</v>
      </c>
      <c r="V125" s="2">
        <v>19703.849999999999</v>
      </c>
      <c r="W125" s="2">
        <v>13715.31</v>
      </c>
      <c r="X125" s="2">
        <v>4400.04</v>
      </c>
      <c r="Y125" s="2">
        <v>37819.199999999997</v>
      </c>
      <c r="Z125" s="2">
        <v>0</v>
      </c>
      <c r="AA125" s="2">
        <v>0</v>
      </c>
      <c r="AB125" s="2">
        <v>0</v>
      </c>
      <c r="AC125" s="2">
        <v>0</v>
      </c>
      <c r="AD125" s="2">
        <v>0</v>
      </c>
    </row>
    <row r="126" spans="1:30" x14ac:dyDescent="0.35">
      <c r="A126" t="s">
        <v>54</v>
      </c>
      <c r="B126" t="s">
        <v>106</v>
      </c>
      <c r="C126" t="s">
        <v>31</v>
      </c>
      <c r="D126" s="23" t="s">
        <v>2448</v>
      </c>
      <c r="E126" s="1">
        <v>45363</v>
      </c>
      <c r="F126" s="3">
        <v>2023</v>
      </c>
      <c r="G126" s="1">
        <v>45366</v>
      </c>
      <c r="H126" t="s">
        <v>32</v>
      </c>
      <c r="I126" t="s">
        <v>33</v>
      </c>
      <c r="J126" t="s">
        <v>107</v>
      </c>
      <c r="K126" s="1">
        <v>45504</v>
      </c>
      <c r="L126" s="1">
        <v>44830</v>
      </c>
      <c r="M126" t="s">
        <v>35</v>
      </c>
      <c r="O126">
        <v>0</v>
      </c>
      <c r="P126" t="s">
        <v>36</v>
      </c>
      <c r="Q126" t="s">
        <v>108</v>
      </c>
      <c r="R126" s="2">
        <v>791.65</v>
      </c>
      <c r="S126" s="2">
        <v>0</v>
      </c>
      <c r="T126" s="2">
        <v>569.85</v>
      </c>
      <c r="U126" s="2">
        <v>1361.5</v>
      </c>
      <c r="V126" s="2">
        <v>791.65</v>
      </c>
      <c r="W126" s="2">
        <v>0</v>
      </c>
      <c r="X126" s="2">
        <v>569.85</v>
      </c>
      <c r="Y126" s="2">
        <v>1361.5</v>
      </c>
      <c r="Z126" s="2">
        <v>0</v>
      </c>
      <c r="AA126" s="2">
        <v>0</v>
      </c>
      <c r="AB126" s="2">
        <v>0</v>
      </c>
      <c r="AC126" s="2">
        <v>0</v>
      </c>
      <c r="AD126" s="2">
        <v>0</v>
      </c>
    </row>
    <row r="127" spans="1:30" x14ac:dyDescent="0.35">
      <c r="A127" t="s">
        <v>82</v>
      </c>
      <c r="B127" t="s">
        <v>291</v>
      </c>
      <c r="C127" t="s">
        <v>31</v>
      </c>
      <c r="D127" s="23" t="s">
        <v>2448</v>
      </c>
      <c r="E127" s="1">
        <v>45383</v>
      </c>
      <c r="F127" s="3">
        <v>2023</v>
      </c>
      <c r="G127" s="1">
        <v>45393</v>
      </c>
      <c r="H127" t="s">
        <v>61</v>
      </c>
      <c r="I127" t="s">
        <v>62</v>
      </c>
      <c r="J127" t="s">
        <v>292</v>
      </c>
      <c r="K127" s="1">
        <v>45740</v>
      </c>
      <c r="L127" s="1">
        <v>44887</v>
      </c>
      <c r="M127" t="s">
        <v>35</v>
      </c>
      <c r="N127" t="s">
        <v>58</v>
      </c>
      <c r="O127">
        <v>29</v>
      </c>
      <c r="P127" t="s">
        <v>293</v>
      </c>
      <c r="Q127" t="s">
        <v>277</v>
      </c>
      <c r="R127" s="2">
        <v>12278.05</v>
      </c>
      <c r="S127" s="2">
        <v>11418.93</v>
      </c>
      <c r="T127" s="2">
        <v>14728.95</v>
      </c>
      <c r="U127" s="2">
        <v>38425.93</v>
      </c>
      <c r="V127" s="2">
        <v>12278.05</v>
      </c>
      <c r="W127" s="2">
        <v>11418.93</v>
      </c>
      <c r="X127" s="2">
        <v>14728.95</v>
      </c>
      <c r="Y127" s="2">
        <v>38425.93</v>
      </c>
      <c r="Z127" s="2">
        <v>0</v>
      </c>
      <c r="AA127" s="2">
        <v>0</v>
      </c>
      <c r="AB127" s="2">
        <v>0</v>
      </c>
      <c r="AC127" s="2">
        <v>0</v>
      </c>
      <c r="AD127" s="2">
        <v>0</v>
      </c>
    </row>
    <row r="128" spans="1:30" x14ac:dyDescent="0.35">
      <c r="A128" t="s">
        <v>38</v>
      </c>
      <c r="B128" t="s">
        <v>397</v>
      </c>
      <c r="C128" t="s">
        <v>31</v>
      </c>
      <c r="D128" s="23" t="s">
        <v>2448</v>
      </c>
      <c r="E128" s="1">
        <v>45390</v>
      </c>
      <c r="F128" s="3">
        <v>2023</v>
      </c>
      <c r="G128" s="1">
        <v>45393</v>
      </c>
      <c r="H128" t="s">
        <v>32</v>
      </c>
      <c r="I128" t="s">
        <v>33</v>
      </c>
      <c r="J128" t="s">
        <v>398</v>
      </c>
      <c r="K128" s="1">
        <v>45559</v>
      </c>
      <c r="L128" s="1">
        <v>45341</v>
      </c>
      <c r="M128" t="s">
        <v>35</v>
      </c>
      <c r="N128" t="s">
        <v>58</v>
      </c>
      <c r="O128">
        <v>83</v>
      </c>
      <c r="P128" t="s">
        <v>95</v>
      </c>
      <c r="Q128" t="s">
        <v>126</v>
      </c>
      <c r="R128" s="2">
        <v>2061.73</v>
      </c>
      <c r="S128" s="2">
        <v>5191.7700000000004</v>
      </c>
      <c r="T128" s="2">
        <v>2300.23</v>
      </c>
      <c r="U128" s="2">
        <v>9553.73</v>
      </c>
      <c r="V128" s="2">
        <v>2061.73</v>
      </c>
      <c r="W128" s="2">
        <v>5191.7700000000004</v>
      </c>
      <c r="X128" s="2">
        <v>2300.23</v>
      </c>
      <c r="Y128" s="2">
        <v>9553.73</v>
      </c>
      <c r="Z128" s="2">
        <v>0</v>
      </c>
      <c r="AA128" s="2">
        <v>0</v>
      </c>
      <c r="AB128" s="2">
        <v>0</v>
      </c>
      <c r="AC128" s="2">
        <v>0</v>
      </c>
      <c r="AD128" s="2">
        <v>0</v>
      </c>
    </row>
    <row r="129" spans="1:30" x14ac:dyDescent="0.35">
      <c r="A129" t="s">
        <v>38</v>
      </c>
      <c r="B129" t="s">
        <v>252</v>
      </c>
      <c r="C129" t="s">
        <v>31</v>
      </c>
      <c r="D129" s="23" t="s">
        <v>2448</v>
      </c>
      <c r="E129" s="1">
        <v>45391</v>
      </c>
      <c r="F129" s="3">
        <v>2023</v>
      </c>
      <c r="G129" s="1">
        <v>45405</v>
      </c>
      <c r="H129" t="s">
        <v>182</v>
      </c>
      <c r="I129" t="s">
        <v>33</v>
      </c>
      <c r="J129" t="s">
        <v>253</v>
      </c>
      <c r="K129" s="1">
        <v>45412</v>
      </c>
      <c r="L129" s="1">
        <v>42859</v>
      </c>
      <c r="M129" t="s">
        <v>35</v>
      </c>
      <c r="O129">
        <v>0</v>
      </c>
      <c r="P129" t="s">
        <v>64</v>
      </c>
      <c r="Q129" t="s">
        <v>65</v>
      </c>
      <c r="R129" s="2">
        <v>1960.56</v>
      </c>
      <c r="S129" s="2">
        <v>0</v>
      </c>
      <c r="T129" s="2">
        <v>894.97</v>
      </c>
      <c r="U129" s="2">
        <v>2855.53</v>
      </c>
      <c r="V129" s="2">
        <v>1960.56</v>
      </c>
      <c r="W129" s="2">
        <v>0</v>
      </c>
      <c r="X129" s="2">
        <v>894.97</v>
      </c>
      <c r="Y129" s="2">
        <v>2855.53</v>
      </c>
      <c r="Z129" s="2">
        <v>0</v>
      </c>
      <c r="AA129" s="2">
        <v>0</v>
      </c>
      <c r="AB129" s="2">
        <v>0</v>
      </c>
      <c r="AC129" s="2">
        <v>0</v>
      </c>
      <c r="AD129" s="2">
        <v>0</v>
      </c>
    </row>
    <row r="130" spans="1:30" x14ac:dyDescent="0.35">
      <c r="A130" t="s">
        <v>90</v>
      </c>
      <c r="B130" t="s">
        <v>506</v>
      </c>
      <c r="C130" t="s">
        <v>31</v>
      </c>
      <c r="D130" s="23" t="s">
        <v>2448</v>
      </c>
      <c r="E130" s="1">
        <v>45396</v>
      </c>
      <c r="F130" s="3">
        <v>2023</v>
      </c>
      <c r="G130" s="1">
        <v>45405</v>
      </c>
      <c r="H130" t="s">
        <v>470</v>
      </c>
      <c r="I130" t="s">
        <v>314</v>
      </c>
      <c r="J130" t="s">
        <v>438</v>
      </c>
      <c r="K130" s="1">
        <v>45471</v>
      </c>
      <c r="L130" s="1">
        <v>41643</v>
      </c>
      <c r="M130" s="1">
        <v>45408</v>
      </c>
      <c r="O130">
        <v>0</v>
      </c>
      <c r="P130" t="s">
        <v>36</v>
      </c>
      <c r="Q130" t="s">
        <v>87</v>
      </c>
      <c r="R130" s="2">
        <v>1364.57</v>
      </c>
      <c r="S130" s="2">
        <v>0</v>
      </c>
      <c r="T130" s="2">
        <v>1058.48</v>
      </c>
      <c r="U130" s="2">
        <v>2423.0500000000002</v>
      </c>
      <c r="V130" s="2">
        <v>1364.57</v>
      </c>
      <c r="W130" s="2">
        <v>0</v>
      </c>
      <c r="X130" s="2">
        <v>1058.48</v>
      </c>
      <c r="Y130" s="2">
        <v>2423.0500000000002</v>
      </c>
      <c r="Z130" s="2">
        <v>0</v>
      </c>
      <c r="AA130" s="2">
        <v>0</v>
      </c>
      <c r="AB130" s="2">
        <v>0</v>
      </c>
      <c r="AC130" s="2">
        <v>0</v>
      </c>
      <c r="AD130" s="2">
        <v>0</v>
      </c>
    </row>
    <row r="131" spans="1:30" x14ac:dyDescent="0.35">
      <c r="A131" t="s">
        <v>38</v>
      </c>
      <c r="B131" t="s">
        <v>465</v>
      </c>
      <c r="C131" t="s">
        <v>31</v>
      </c>
      <c r="D131" s="23" t="s">
        <v>2448</v>
      </c>
      <c r="E131" s="1">
        <v>45408</v>
      </c>
      <c r="F131" s="3">
        <v>2023</v>
      </c>
      <c r="G131" s="1">
        <v>45485</v>
      </c>
      <c r="H131" t="s">
        <v>84</v>
      </c>
      <c r="I131" t="s">
        <v>85</v>
      </c>
      <c r="J131" t="s">
        <v>447</v>
      </c>
      <c r="K131" t="s">
        <v>35</v>
      </c>
      <c r="L131" s="1">
        <v>45383</v>
      </c>
      <c r="M131" t="s">
        <v>35</v>
      </c>
      <c r="O131">
        <v>0</v>
      </c>
      <c r="P131" t="s">
        <v>47</v>
      </c>
      <c r="Q131" t="s">
        <v>48</v>
      </c>
      <c r="R131" s="2">
        <v>601.71</v>
      </c>
      <c r="S131" s="2">
        <v>0</v>
      </c>
      <c r="T131" s="2">
        <v>29.27</v>
      </c>
      <c r="U131" s="2">
        <v>630.98</v>
      </c>
      <c r="V131" s="2">
        <v>601.71</v>
      </c>
      <c r="W131" s="2">
        <v>0</v>
      </c>
      <c r="X131" s="2">
        <v>29.27</v>
      </c>
      <c r="Y131" s="2">
        <v>630.98</v>
      </c>
      <c r="Z131" s="2">
        <v>0</v>
      </c>
      <c r="AA131" s="2">
        <v>0</v>
      </c>
      <c r="AB131" s="2">
        <v>0</v>
      </c>
      <c r="AC131" s="2">
        <v>0</v>
      </c>
      <c r="AD131" s="2">
        <v>0</v>
      </c>
    </row>
    <row r="132" spans="1:30" x14ac:dyDescent="0.35">
      <c r="A132" t="s">
        <v>88</v>
      </c>
      <c r="B132" t="s">
        <v>157</v>
      </c>
      <c r="C132" t="s">
        <v>132</v>
      </c>
      <c r="D132" s="23" t="s">
        <v>2448</v>
      </c>
      <c r="E132" s="1">
        <v>45415</v>
      </c>
      <c r="F132" s="3">
        <v>2023</v>
      </c>
      <c r="G132" s="1">
        <v>45429</v>
      </c>
      <c r="H132" t="s">
        <v>138</v>
      </c>
      <c r="I132" t="s">
        <v>139</v>
      </c>
      <c r="J132" t="s">
        <v>40</v>
      </c>
      <c r="K132" t="s">
        <v>35</v>
      </c>
      <c r="L132" s="1">
        <v>45415</v>
      </c>
      <c r="M132" t="s">
        <v>35</v>
      </c>
      <c r="N132" t="s">
        <v>158</v>
      </c>
      <c r="O132">
        <v>551</v>
      </c>
      <c r="P132" t="s">
        <v>64</v>
      </c>
      <c r="Q132" t="s">
        <v>159</v>
      </c>
      <c r="R132" s="2">
        <v>49044</v>
      </c>
      <c r="S132" s="2">
        <v>73224</v>
      </c>
      <c r="T132" s="2">
        <v>31312</v>
      </c>
      <c r="U132" s="2">
        <v>153580</v>
      </c>
      <c r="V132" s="2">
        <v>37304.449999999997</v>
      </c>
      <c r="W132" s="2">
        <v>52853.72</v>
      </c>
      <c r="X132" s="2">
        <v>16503.32</v>
      </c>
      <c r="Y132" s="2">
        <v>106661.49</v>
      </c>
      <c r="Z132" s="2">
        <v>11739.55</v>
      </c>
      <c r="AA132" s="2">
        <v>20370.28</v>
      </c>
      <c r="AB132" s="2">
        <v>14808.68</v>
      </c>
      <c r="AC132" s="2">
        <v>46918.51</v>
      </c>
      <c r="AD132" s="2">
        <v>0</v>
      </c>
    </row>
    <row r="133" spans="1:30" x14ac:dyDescent="0.35">
      <c r="A133" t="s">
        <v>29</v>
      </c>
      <c r="B133" t="s">
        <v>413</v>
      </c>
      <c r="C133" t="s">
        <v>31</v>
      </c>
      <c r="D133" s="23" t="s">
        <v>2448</v>
      </c>
      <c r="E133" s="1">
        <v>45419</v>
      </c>
      <c r="F133" s="3">
        <v>2023</v>
      </c>
      <c r="G133" s="1">
        <v>45419</v>
      </c>
      <c r="H133" t="s">
        <v>144</v>
      </c>
      <c r="I133" t="s">
        <v>121</v>
      </c>
      <c r="J133" t="s">
        <v>57</v>
      </c>
      <c r="K133" s="1">
        <v>45425</v>
      </c>
      <c r="L133" s="1">
        <v>44802</v>
      </c>
      <c r="M133" t="s">
        <v>35</v>
      </c>
      <c r="O133">
        <v>0</v>
      </c>
      <c r="P133" t="s">
        <v>36</v>
      </c>
      <c r="Q133" t="s">
        <v>93</v>
      </c>
      <c r="R133" s="2">
        <v>607.16999999999996</v>
      </c>
      <c r="S133" s="2">
        <v>0</v>
      </c>
      <c r="T133" s="2">
        <v>10.93</v>
      </c>
      <c r="U133" s="2">
        <v>618.1</v>
      </c>
      <c r="V133" s="2">
        <v>607.16999999999996</v>
      </c>
      <c r="W133" s="2">
        <v>0</v>
      </c>
      <c r="X133" s="2">
        <v>10.93</v>
      </c>
      <c r="Y133" s="2">
        <v>618.1</v>
      </c>
      <c r="Z133" s="2">
        <v>0</v>
      </c>
      <c r="AA133" s="2">
        <v>0</v>
      </c>
      <c r="AB133" s="2">
        <v>0</v>
      </c>
      <c r="AC133" s="2">
        <v>0</v>
      </c>
      <c r="AD133" s="2">
        <v>0</v>
      </c>
    </row>
    <row r="134" spans="1:30" x14ac:dyDescent="0.35">
      <c r="A134" t="s">
        <v>29</v>
      </c>
      <c r="B134" t="s">
        <v>371</v>
      </c>
      <c r="C134" t="s">
        <v>31</v>
      </c>
      <c r="D134" s="23" t="s">
        <v>2448</v>
      </c>
      <c r="E134" s="1">
        <v>45426</v>
      </c>
      <c r="F134" s="3">
        <v>2023</v>
      </c>
      <c r="G134" s="1">
        <v>45426</v>
      </c>
      <c r="H134" t="s">
        <v>206</v>
      </c>
      <c r="I134" t="s">
        <v>51</v>
      </c>
      <c r="J134" t="s">
        <v>257</v>
      </c>
      <c r="K134" s="1">
        <v>45534</v>
      </c>
      <c r="L134" s="1">
        <v>44652</v>
      </c>
      <c r="M134" t="s">
        <v>35</v>
      </c>
      <c r="O134">
        <v>0</v>
      </c>
      <c r="P134" t="s">
        <v>36</v>
      </c>
      <c r="Q134" t="s">
        <v>87</v>
      </c>
      <c r="R134" s="2">
        <v>264.39999999999998</v>
      </c>
      <c r="S134" s="2">
        <v>0</v>
      </c>
      <c r="T134" s="2">
        <v>17.059999999999999</v>
      </c>
      <c r="U134" s="2">
        <v>281.45999999999998</v>
      </c>
      <c r="V134" s="2">
        <v>264.39999999999998</v>
      </c>
      <c r="W134" s="2">
        <v>0</v>
      </c>
      <c r="X134" s="2">
        <v>17.059999999999999</v>
      </c>
      <c r="Y134" s="2">
        <v>281.45999999999998</v>
      </c>
      <c r="Z134" s="2">
        <v>0</v>
      </c>
      <c r="AA134" s="2">
        <v>0</v>
      </c>
      <c r="AB134" s="2">
        <v>0</v>
      </c>
      <c r="AC134" s="2">
        <v>0</v>
      </c>
      <c r="AD134" s="2">
        <v>0</v>
      </c>
    </row>
    <row r="135" spans="1:30" x14ac:dyDescent="0.35">
      <c r="A135" t="s">
        <v>29</v>
      </c>
      <c r="B135" t="s">
        <v>180</v>
      </c>
      <c r="C135" t="s">
        <v>31</v>
      </c>
      <c r="D135" s="23" t="s">
        <v>2448</v>
      </c>
      <c r="E135" s="1">
        <v>45434</v>
      </c>
      <c r="F135" s="3">
        <v>2023</v>
      </c>
      <c r="G135" s="1">
        <v>45443</v>
      </c>
      <c r="H135" t="s">
        <v>148</v>
      </c>
      <c r="I135" t="s">
        <v>69</v>
      </c>
      <c r="J135" t="s">
        <v>128</v>
      </c>
      <c r="K135" s="1">
        <v>45664</v>
      </c>
      <c r="L135" s="1">
        <v>45194</v>
      </c>
      <c r="M135" s="1">
        <v>45446</v>
      </c>
      <c r="O135">
        <v>47</v>
      </c>
      <c r="P135" t="s">
        <v>36</v>
      </c>
      <c r="Q135" t="s">
        <v>145</v>
      </c>
      <c r="R135" s="2">
        <v>7765.14</v>
      </c>
      <c r="S135" s="2">
        <v>5848.75</v>
      </c>
      <c r="T135" s="2">
        <v>6143.12</v>
      </c>
      <c r="U135" s="2">
        <v>19757.009999999998</v>
      </c>
      <c r="V135" s="2">
        <v>7765.14</v>
      </c>
      <c r="W135" s="2">
        <v>5848.75</v>
      </c>
      <c r="X135" s="2">
        <v>6143.12</v>
      </c>
      <c r="Y135" s="2">
        <v>19757.009999999998</v>
      </c>
      <c r="Z135" s="2">
        <v>0</v>
      </c>
      <c r="AA135" s="2">
        <v>0</v>
      </c>
      <c r="AB135" s="2">
        <v>0</v>
      </c>
      <c r="AC135" s="2">
        <v>0</v>
      </c>
      <c r="AD135" s="2">
        <v>0</v>
      </c>
    </row>
    <row r="136" spans="1:30" x14ac:dyDescent="0.35">
      <c r="A136" t="s">
        <v>29</v>
      </c>
      <c r="B136" t="s">
        <v>30</v>
      </c>
      <c r="C136" t="s">
        <v>31</v>
      </c>
      <c r="D136" s="23" t="s">
        <v>2448</v>
      </c>
      <c r="E136" s="1">
        <v>45441</v>
      </c>
      <c r="F136" s="3">
        <v>2023</v>
      </c>
      <c r="G136" s="1">
        <v>45441</v>
      </c>
      <c r="H136" t="s">
        <v>32</v>
      </c>
      <c r="I136" t="s">
        <v>33</v>
      </c>
      <c r="J136" t="s">
        <v>34</v>
      </c>
      <c r="K136" s="1">
        <v>45450</v>
      </c>
      <c r="L136" s="1">
        <v>42217</v>
      </c>
      <c r="M136" t="s">
        <v>35</v>
      </c>
      <c r="O136">
        <v>0</v>
      </c>
      <c r="P136" t="s">
        <v>36</v>
      </c>
      <c r="Q136" t="s">
        <v>37</v>
      </c>
      <c r="R136" s="2">
        <v>62.61</v>
      </c>
      <c r="S136" s="2">
        <v>0</v>
      </c>
      <c r="T136" s="2">
        <v>95.06</v>
      </c>
      <c r="U136" s="2">
        <v>157.66999999999999</v>
      </c>
      <c r="V136" s="2">
        <v>62.61</v>
      </c>
      <c r="W136" s="2">
        <v>0</v>
      </c>
      <c r="X136" s="2">
        <v>95.06</v>
      </c>
      <c r="Y136" s="2">
        <v>157.66999999999999</v>
      </c>
      <c r="Z136" s="2">
        <v>0</v>
      </c>
      <c r="AA136" s="2">
        <v>0</v>
      </c>
      <c r="AB136" s="2">
        <v>0</v>
      </c>
      <c r="AC136" s="2">
        <v>0</v>
      </c>
      <c r="AD136" s="2">
        <v>0</v>
      </c>
    </row>
    <row r="137" spans="1:30" x14ac:dyDescent="0.35">
      <c r="A137" t="s">
        <v>38</v>
      </c>
      <c r="B137" t="s">
        <v>417</v>
      </c>
      <c r="C137" t="s">
        <v>31</v>
      </c>
      <c r="D137" s="23" t="s">
        <v>2448</v>
      </c>
      <c r="E137" s="1">
        <v>45446</v>
      </c>
      <c r="F137" s="3">
        <v>2023</v>
      </c>
      <c r="G137" s="1">
        <v>45446</v>
      </c>
      <c r="H137" t="s">
        <v>50</v>
      </c>
      <c r="I137" t="s">
        <v>51</v>
      </c>
      <c r="J137" t="s">
        <v>125</v>
      </c>
      <c r="K137" s="1">
        <v>45455</v>
      </c>
      <c r="L137" s="1">
        <v>43305</v>
      </c>
      <c r="M137" t="s">
        <v>35</v>
      </c>
      <c r="O137">
        <v>0</v>
      </c>
      <c r="P137" t="s">
        <v>47</v>
      </c>
      <c r="Q137" t="s">
        <v>53</v>
      </c>
      <c r="R137" s="2">
        <v>377.19</v>
      </c>
      <c r="S137" s="2">
        <v>0</v>
      </c>
      <c r="T137" s="2">
        <v>20.420000000000002</v>
      </c>
      <c r="U137" s="2">
        <v>397.61</v>
      </c>
      <c r="V137" s="2">
        <v>377.19</v>
      </c>
      <c r="W137" s="2">
        <v>0</v>
      </c>
      <c r="X137" s="2">
        <v>20.420000000000002</v>
      </c>
      <c r="Y137" s="2">
        <v>397.61</v>
      </c>
      <c r="Z137" s="2">
        <v>0</v>
      </c>
      <c r="AA137" s="2">
        <v>0</v>
      </c>
      <c r="AB137" s="2">
        <v>0</v>
      </c>
      <c r="AC137" s="2">
        <v>0</v>
      </c>
      <c r="AD137" s="2">
        <v>0</v>
      </c>
    </row>
    <row r="138" spans="1:30" x14ac:dyDescent="0.35">
      <c r="A138" t="s">
        <v>38</v>
      </c>
      <c r="B138" t="s">
        <v>256</v>
      </c>
      <c r="C138" t="s">
        <v>31</v>
      </c>
      <c r="D138" s="23" t="s">
        <v>2448</v>
      </c>
      <c r="E138" s="1">
        <v>45454</v>
      </c>
      <c r="F138" s="3">
        <v>2023</v>
      </c>
      <c r="G138" s="1">
        <v>45455</v>
      </c>
      <c r="H138" t="s">
        <v>208</v>
      </c>
      <c r="I138" t="s">
        <v>69</v>
      </c>
      <c r="J138" t="s">
        <v>257</v>
      </c>
      <c r="K138" s="1">
        <v>45464</v>
      </c>
      <c r="L138" s="1">
        <v>40603</v>
      </c>
      <c r="M138" t="s">
        <v>35</v>
      </c>
      <c r="O138">
        <v>0</v>
      </c>
      <c r="P138" t="s">
        <v>47</v>
      </c>
      <c r="Q138" t="s">
        <v>53</v>
      </c>
      <c r="R138" s="2">
        <v>192.08</v>
      </c>
      <c r="S138" s="2">
        <v>0</v>
      </c>
      <c r="T138" s="2">
        <v>305.33999999999997</v>
      </c>
      <c r="U138" s="2">
        <v>497.42</v>
      </c>
      <c r="V138" s="2">
        <v>192.08</v>
      </c>
      <c r="W138" s="2">
        <v>0</v>
      </c>
      <c r="X138" s="2">
        <v>305.33999999999997</v>
      </c>
      <c r="Y138" s="2">
        <v>497.42</v>
      </c>
      <c r="Z138" s="2">
        <v>0</v>
      </c>
      <c r="AA138" s="2">
        <v>0</v>
      </c>
      <c r="AB138" s="2">
        <v>0</v>
      </c>
      <c r="AC138" s="2">
        <v>0</v>
      </c>
      <c r="AD138" s="2">
        <v>0</v>
      </c>
    </row>
    <row r="139" spans="1:30" x14ac:dyDescent="0.35">
      <c r="A139" t="s">
        <v>38</v>
      </c>
      <c r="B139" t="s">
        <v>479</v>
      </c>
      <c r="C139" t="s">
        <v>31</v>
      </c>
      <c r="D139" s="23" t="s">
        <v>2448</v>
      </c>
      <c r="E139" s="1">
        <v>45463</v>
      </c>
      <c r="F139" s="3">
        <v>2023</v>
      </c>
      <c r="G139" s="1">
        <v>45510</v>
      </c>
      <c r="H139" t="s">
        <v>176</v>
      </c>
      <c r="I139" t="s">
        <v>45</v>
      </c>
      <c r="J139" t="s">
        <v>480</v>
      </c>
      <c r="K139" t="s">
        <v>35</v>
      </c>
      <c r="L139" s="1">
        <v>45463</v>
      </c>
      <c r="M139" t="s">
        <v>35</v>
      </c>
      <c r="O139">
        <v>0</v>
      </c>
      <c r="P139" t="s">
        <v>47</v>
      </c>
      <c r="Q139" t="s">
        <v>151</v>
      </c>
      <c r="R139" s="2">
        <v>304.14</v>
      </c>
      <c r="S139" s="2">
        <v>0</v>
      </c>
      <c r="T139" s="2">
        <v>6.17</v>
      </c>
      <c r="U139" s="2">
        <v>310.31</v>
      </c>
      <c r="V139" s="2">
        <v>304.14</v>
      </c>
      <c r="W139" s="2">
        <v>0</v>
      </c>
      <c r="X139" s="2">
        <v>6.17</v>
      </c>
      <c r="Y139" s="2">
        <v>310.31</v>
      </c>
      <c r="Z139" s="2">
        <v>0</v>
      </c>
      <c r="AA139" s="2">
        <v>0</v>
      </c>
      <c r="AB139" s="2">
        <v>0</v>
      </c>
      <c r="AC139" s="2">
        <v>0</v>
      </c>
      <c r="AD139" s="2">
        <v>0</v>
      </c>
    </row>
    <row r="140" spans="1:30" x14ac:dyDescent="0.35">
      <c r="A140" t="s">
        <v>171</v>
      </c>
      <c r="B140" t="s">
        <v>411</v>
      </c>
      <c r="C140" t="s">
        <v>31</v>
      </c>
      <c r="D140" s="23" t="s">
        <v>2448</v>
      </c>
      <c r="E140" s="1">
        <v>45469</v>
      </c>
      <c r="F140" s="3">
        <v>2023</v>
      </c>
      <c r="G140" s="1">
        <v>45482</v>
      </c>
      <c r="H140" t="s">
        <v>56</v>
      </c>
      <c r="I140" t="s">
        <v>51</v>
      </c>
      <c r="J140" t="s">
        <v>412</v>
      </c>
      <c r="K140" s="1">
        <v>45483</v>
      </c>
      <c r="L140" s="1">
        <v>44683</v>
      </c>
      <c r="M140" t="s">
        <v>35</v>
      </c>
      <c r="O140">
        <v>0</v>
      </c>
      <c r="P140" t="s">
        <v>36</v>
      </c>
      <c r="Q140" t="s">
        <v>277</v>
      </c>
      <c r="R140" s="2">
        <v>397.11</v>
      </c>
      <c r="S140" s="2">
        <v>0</v>
      </c>
      <c r="T140" s="2">
        <v>8.9700000000000006</v>
      </c>
      <c r="U140" s="2">
        <v>406.08</v>
      </c>
      <c r="V140" s="2">
        <v>397.11</v>
      </c>
      <c r="W140" s="2">
        <v>0</v>
      </c>
      <c r="X140" s="2">
        <v>8.9700000000000006</v>
      </c>
      <c r="Y140" s="2">
        <v>406.08</v>
      </c>
      <c r="Z140" s="2">
        <v>0</v>
      </c>
      <c r="AA140" s="2">
        <v>0</v>
      </c>
      <c r="AB140" s="2">
        <v>0</v>
      </c>
      <c r="AC140" s="2">
        <v>0</v>
      </c>
      <c r="AD140" s="2">
        <v>0</v>
      </c>
    </row>
    <row r="141" spans="1:30" x14ac:dyDescent="0.35">
      <c r="A141" t="s">
        <v>224</v>
      </c>
      <c r="B141" t="s">
        <v>466</v>
      </c>
      <c r="C141" t="s">
        <v>31</v>
      </c>
      <c r="D141" s="23" t="s">
        <v>2448</v>
      </c>
      <c r="E141" s="1">
        <v>45469</v>
      </c>
      <c r="F141" s="3">
        <v>2023</v>
      </c>
      <c r="G141" s="1">
        <v>45492</v>
      </c>
      <c r="H141" t="s">
        <v>217</v>
      </c>
      <c r="I141" t="s">
        <v>51</v>
      </c>
      <c r="J141" t="s">
        <v>227</v>
      </c>
      <c r="K141" t="s">
        <v>35</v>
      </c>
      <c r="L141" s="1">
        <v>45469</v>
      </c>
      <c r="M141" t="s">
        <v>35</v>
      </c>
      <c r="O141">
        <v>0</v>
      </c>
      <c r="P141" t="s">
        <v>228</v>
      </c>
      <c r="Q141" t="s">
        <v>53</v>
      </c>
      <c r="R141" s="2">
        <v>380.55</v>
      </c>
      <c r="S141" s="2">
        <v>0</v>
      </c>
      <c r="T141" s="2">
        <v>19.09</v>
      </c>
      <c r="U141" s="2">
        <v>399.64</v>
      </c>
      <c r="V141" s="2">
        <v>380.55</v>
      </c>
      <c r="W141" s="2">
        <v>0</v>
      </c>
      <c r="X141" s="2">
        <v>19.09</v>
      </c>
      <c r="Y141" s="2">
        <v>399.64</v>
      </c>
      <c r="Z141" s="2">
        <v>0</v>
      </c>
      <c r="AA141" s="2">
        <v>0</v>
      </c>
      <c r="AB141" s="2">
        <v>0</v>
      </c>
      <c r="AC141" s="2">
        <v>0</v>
      </c>
      <c r="AD141" s="2">
        <v>0</v>
      </c>
    </row>
    <row r="142" spans="1:30" x14ac:dyDescent="0.35">
      <c r="A142" t="s">
        <v>29</v>
      </c>
      <c r="B142" t="s">
        <v>236</v>
      </c>
      <c r="C142" t="s">
        <v>31</v>
      </c>
      <c r="D142" s="23" t="s">
        <v>2448</v>
      </c>
      <c r="E142" s="1">
        <v>45471</v>
      </c>
      <c r="F142" s="3">
        <v>2023</v>
      </c>
      <c r="G142" s="1">
        <v>45489</v>
      </c>
      <c r="H142" t="s">
        <v>61</v>
      </c>
      <c r="I142" t="s">
        <v>62</v>
      </c>
      <c r="J142" t="s">
        <v>101</v>
      </c>
      <c r="K142" s="1">
        <v>45762</v>
      </c>
      <c r="L142" s="1">
        <v>45243</v>
      </c>
      <c r="M142" s="1">
        <v>45758</v>
      </c>
      <c r="N142" t="s">
        <v>58</v>
      </c>
      <c r="O142">
        <v>56</v>
      </c>
      <c r="P142" t="s">
        <v>36</v>
      </c>
      <c r="Q142" t="s">
        <v>191</v>
      </c>
      <c r="R142" s="2">
        <v>5841.06</v>
      </c>
      <c r="S142" s="2">
        <v>15148.91</v>
      </c>
      <c r="T142" s="2">
        <v>3509.85</v>
      </c>
      <c r="U142" s="2">
        <v>24499.82</v>
      </c>
      <c r="V142" s="2">
        <v>5841.06</v>
      </c>
      <c r="W142" s="2">
        <v>15148.91</v>
      </c>
      <c r="X142" s="2">
        <v>3509.85</v>
      </c>
      <c r="Y142" s="2">
        <v>24499.82</v>
      </c>
      <c r="Z142" s="2">
        <v>0</v>
      </c>
      <c r="AA142" s="2">
        <v>0</v>
      </c>
      <c r="AB142" s="2">
        <v>0</v>
      </c>
      <c r="AC142" s="2">
        <v>0</v>
      </c>
      <c r="AD142" s="2">
        <v>-386.04</v>
      </c>
    </row>
    <row r="143" spans="1:30" x14ac:dyDescent="0.35">
      <c r="A143" t="s">
        <v>38</v>
      </c>
      <c r="B143" t="s">
        <v>490</v>
      </c>
      <c r="C143" t="s">
        <v>31</v>
      </c>
      <c r="D143" s="23" t="s">
        <v>2448</v>
      </c>
      <c r="E143" s="1">
        <v>45471</v>
      </c>
      <c r="F143" s="3">
        <v>2023</v>
      </c>
      <c r="G143" s="1">
        <v>45471</v>
      </c>
      <c r="H143" t="s">
        <v>32</v>
      </c>
      <c r="I143" t="s">
        <v>33</v>
      </c>
      <c r="J143" t="s">
        <v>46</v>
      </c>
      <c r="K143" s="1">
        <v>45476</v>
      </c>
      <c r="L143" s="1">
        <v>44317</v>
      </c>
      <c r="M143" t="s">
        <v>35</v>
      </c>
      <c r="O143">
        <v>0</v>
      </c>
      <c r="P143" t="s">
        <v>47</v>
      </c>
      <c r="Q143" t="s">
        <v>48</v>
      </c>
      <c r="R143" s="2">
        <v>53.22</v>
      </c>
      <c r="S143" s="2">
        <v>0</v>
      </c>
      <c r="T143" s="2">
        <v>194.5</v>
      </c>
      <c r="U143" s="2">
        <v>247.72</v>
      </c>
      <c r="V143" s="2">
        <v>53.22</v>
      </c>
      <c r="W143" s="2">
        <v>0</v>
      </c>
      <c r="X143" s="2">
        <v>194.5</v>
      </c>
      <c r="Y143" s="2">
        <v>247.72</v>
      </c>
      <c r="Z143" s="2">
        <v>0</v>
      </c>
      <c r="AA143" s="2">
        <v>0</v>
      </c>
      <c r="AB143" s="2">
        <v>0</v>
      </c>
      <c r="AC143" s="2">
        <v>0</v>
      </c>
      <c r="AD143" s="2">
        <v>0</v>
      </c>
    </row>
    <row r="144" spans="1:30" x14ac:dyDescent="0.35">
      <c r="A144" t="s">
        <v>184</v>
      </c>
      <c r="B144" t="s">
        <v>216</v>
      </c>
      <c r="C144" t="s">
        <v>31</v>
      </c>
      <c r="D144" s="23" t="s">
        <v>2448</v>
      </c>
      <c r="E144" s="1">
        <v>45474</v>
      </c>
      <c r="F144" s="3">
        <v>2024</v>
      </c>
      <c r="G144" s="1">
        <v>45489</v>
      </c>
      <c r="H144" t="s">
        <v>217</v>
      </c>
      <c r="I144" t="s">
        <v>51</v>
      </c>
      <c r="J144" t="s">
        <v>218</v>
      </c>
      <c r="K144" s="1">
        <v>45533</v>
      </c>
      <c r="L144" s="1">
        <v>45474</v>
      </c>
      <c r="M144" t="s">
        <v>35</v>
      </c>
      <c r="O144">
        <v>0</v>
      </c>
      <c r="P144" t="s">
        <v>219</v>
      </c>
      <c r="Q144" t="s">
        <v>53</v>
      </c>
      <c r="R144" s="2">
        <v>508.2</v>
      </c>
      <c r="S144" s="2">
        <v>0</v>
      </c>
      <c r="T144" s="2">
        <v>11.48</v>
      </c>
      <c r="U144" s="2">
        <v>519.67999999999995</v>
      </c>
      <c r="V144" s="2">
        <v>508.2</v>
      </c>
      <c r="W144" s="2">
        <v>0</v>
      </c>
      <c r="X144" s="2">
        <v>11.48</v>
      </c>
      <c r="Y144" s="2">
        <v>519.67999999999995</v>
      </c>
      <c r="Z144" s="2">
        <v>0</v>
      </c>
      <c r="AA144" s="2">
        <v>0</v>
      </c>
      <c r="AB144" s="2">
        <v>0</v>
      </c>
      <c r="AC144" s="2">
        <v>0</v>
      </c>
      <c r="AD144" s="2">
        <v>0</v>
      </c>
    </row>
    <row r="145" spans="1:30" x14ac:dyDescent="0.35">
      <c r="A145" t="s">
        <v>38</v>
      </c>
      <c r="B145" t="s">
        <v>301</v>
      </c>
      <c r="C145" t="s">
        <v>132</v>
      </c>
      <c r="D145" s="23" t="s">
        <v>2448</v>
      </c>
      <c r="E145" s="1">
        <v>45478</v>
      </c>
      <c r="F145" s="3">
        <v>2024</v>
      </c>
      <c r="G145" s="1">
        <v>45481</v>
      </c>
      <c r="H145" t="s">
        <v>204</v>
      </c>
      <c r="I145" t="s">
        <v>51</v>
      </c>
      <c r="J145" t="s">
        <v>46</v>
      </c>
      <c r="K145" t="s">
        <v>35</v>
      </c>
      <c r="L145" s="1">
        <v>45083</v>
      </c>
      <c r="M145" t="s">
        <v>35</v>
      </c>
      <c r="N145" t="s">
        <v>158</v>
      </c>
      <c r="O145">
        <v>325</v>
      </c>
      <c r="P145" t="s">
        <v>47</v>
      </c>
      <c r="Q145" t="s">
        <v>53</v>
      </c>
      <c r="R145" s="2">
        <v>47198</v>
      </c>
      <c r="S145" s="2">
        <v>40239</v>
      </c>
      <c r="T145" s="2">
        <v>31631</v>
      </c>
      <c r="U145" s="2">
        <v>119068</v>
      </c>
      <c r="V145" s="2">
        <v>23510.29</v>
      </c>
      <c r="W145" s="2">
        <v>30253.85</v>
      </c>
      <c r="X145" s="2">
        <v>21303.38</v>
      </c>
      <c r="Y145" s="2">
        <v>75067.520000000004</v>
      </c>
      <c r="Z145" s="2">
        <v>23687.71</v>
      </c>
      <c r="AA145" s="2">
        <v>9985.15</v>
      </c>
      <c r="AB145" s="2">
        <v>10327.620000000001</v>
      </c>
      <c r="AC145" s="2">
        <v>44000.480000000003</v>
      </c>
      <c r="AD145" s="2">
        <v>0</v>
      </c>
    </row>
    <row r="146" spans="1:30" x14ac:dyDescent="0.35">
      <c r="A146" t="s">
        <v>136</v>
      </c>
      <c r="B146" t="s">
        <v>345</v>
      </c>
      <c r="C146" t="s">
        <v>31</v>
      </c>
      <c r="D146" s="23" t="s">
        <v>2448</v>
      </c>
      <c r="E146" s="1">
        <v>45480</v>
      </c>
      <c r="F146" s="3">
        <v>2024</v>
      </c>
      <c r="G146" s="1">
        <v>45504</v>
      </c>
      <c r="H146" t="s">
        <v>148</v>
      </c>
      <c r="I146" t="s">
        <v>69</v>
      </c>
      <c r="J146" t="s">
        <v>140</v>
      </c>
      <c r="K146" s="1">
        <v>45505</v>
      </c>
      <c r="L146" s="1">
        <v>45480</v>
      </c>
      <c r="M146" t="s">
        <v>35</v>
      </c>
      <c r="O146">
        <v>0</v>
      </c>
      <c r="P146" t="s">
        <v>36</v>
      </c>
      <c r="Q146" t="s">
        <v>87</v>
      </c>
      <c r="R146" s="2">
        <v>0</v>
      </c>
      <c r="S146" s="2">
        <v>0</v>
      </c>
      <c r="T146" s="2">
        <v>849.52</v>
      </c>
      <c r="U146" s="2">
        <v>849.52</v>
      </c>
      <c r="V146" s="2">
        <v>0</v>
      </c>
      <c r="W146" s="2">
        <v>0</v>
      </c>
      <c r="X146" s="2">
        <v>849.52</v>
      </c>
      <c r="Y146" s="2">
        <v>849.52</v>
      </c>
      <c r="Z146" s="2">
        <v>0</v>
      </c>
      <c r="AA146" s="2">
        <v>0</v>
      </c>
      <c r="AB146" s="2">
        <v>0</v>
      </c>
      <c r="AC146" s="2">
        <v>0</v>
      </c>
      <c r="AD146" s="2">
        <v>0</v>
      </c>
    </row>
    <row r="147" spans="1:30" x14ac:dyDescent="0.35">
      <c r="A147" t="s">
        <v>82</v>
      </c>
      <c r="B147" t="s">
        <v>324</v>
      </c>
      <c r="C147" t="s">
        <v>31</v>
      </c>
      <c r="D147" s="23" t="s">
        <v>2448</v>
      </c>
      <c r="E147" s="1">
        <v>45488</v>
      </c>
      <c r="F147" s="3">
        <v>2024</v>
      </c>
      <c r="G147" s="1">
        <v>45497</v>
      </c>
      <c r="H147" t="s">
        <v>32</v>
      </c>
      <c r="I147" t="s">
        <v>325</v>
      </c>
      <c r="J147" t="s">
        <v>292</v>
      </c>
      <c r="K147" s="1">
        <v>45643</v>
      </c>
      <c r="L147" s="1">
        <v>41372</v>
      </c>
      <c r="M147" s="1">
        <v>45511</v>
      </c>
      <c r="O147">
        <v>26</v>
      </c>
      <c r="P147" t="s">
        <v>75</v>
      </c>
      <c r="Q147" t="s">
        <v>93</v>
      </c>
      <c r="R147" s="2">
        <v>4815.03</v>
      </c>
      <c r="S147" s="2">
        <v>4784.59</v>
      </c>
      <c r="T147" s="2">
        <v>1128.25</v>
      </c>
      <c r="U147" s="2">
        <v>10727.87</v>
      </c>
      <c r="V147" s="2">
        <v>4815.03</v>
      </c>
      <c r="W147" s="2">
        <v>4784.59</v>
      </c>
      <c r="X147" s="2">
        <v>1128.25</v>
      </c>
      <c r="Y147" s="2">
        <v>10727.87</v>
      </c>
      <c r="Z147" s="2">
        <v>0</v>
      </c>
      <c r="AA147" s="2">
        <v>0</v>
      </c>
      <c r="AB147" s="2">
        <v>0</v>
      </c>
      <c r="AC147" s="2">
        <v>0</v>
      </c>
      <c r="AD147" s="2">
        <v>0</v>
      </c>
    </row>
    <row r="148" spans="1:30" x14ac:dyDescent="0.35">
      <c r="A148" t="s">
        <v>38</v>
      </c>
      <c r="B148" t="s">
        <v>197</v>
      </c>
      <c r="C148" t="s">
        <v>31</v>
      </c>
      <c r="D148" s="23" t="s">
        <v>2448</v>
      </c>
      <c r="E148" s="1">
        <v>45489</v>
      </c>
      <c r="F148" s="3">
        <v>2024</v>
      </c>
      <c r="G148" s="1">
        <v>45547</v>
      </c>
      <c r="H148" t="s">
        <v>32</v>
      </c>
      <c r="I148" t="s">
        <v>33</v>
      </c>
      <c r="J148" t="s">
        <v>198</v>
      </c>
      <c r="K148" t="s">
        <v>35</v>
      </c>
      <c r="L148" s="1">
        <v>45489</v>
      </c>
      <c r="M148" t="s">
        <v>35</v>
      </c>
      <c r="O148">
        <v>0</v>
      </c>
      <c r="P148" t="s">
        <v>47</v>
      </c>
      <c r="Q148" t="s">
        <v>53</v>
      </c>
      <c r="R148" s="2">
        <v>125.6</v>
      </c>
      <c r="S148" s="2">
        <v>0</v>
      </c>
      <c r="T148" s="2">
        <v>115.49</v>
      </c>
      <c r="U148" s="2">
        <v>241.09</v>
      </c>
      <c r="V148" s="2">
        <v>125.6</v>
      </c>
      <c r="W148" s="2">
        <v>0</v>
      </c>
      <c r="X148" s="2">
        <v>115.49</v>
      </c>
      <c r="Y148" s="2">
        <v>241.09</v>
      </c>
      <c r="Z148" s="2">
        <v>0</v>
      </c>
      <c r="AA148" s="2">
        <v>0</v>
      </c>
      <c r="AB148" s="2">
        <v>0</v>
      </c>
      <c r="AC148" s="2">
        <v>0</v>
      </c>
      <c r="AD148" s="2">
        <v>0</v>
      </c>
    </row>
    <row r="149" spans="1:30" x14ac:dyDescent="0.35">
      <c r="A149" t="s">
        <v>90</v>
      </c>
      <c r="B149" t="s">
        <v>456</v>
      </c>
      <c r="C149" t="s">
        <v>31</v>
      </c>
      <c r="D149" s="23" t="s">
        <v>2448</v>
      </c>
      <c r="E149" s="1">
        <v>45493</v>
      </c>
      <c r="F149" s="3">
        <v>2024</v>
      </c>
      <c r="G149" s="1">
        <v>45495</v>
      </c>
      <c r="H149" t="s">
        <v>148</v>
      </c>
      <c r="I149" t="s">
        <v>69</v>
      </c>
      <c r="J149" t="s">
        <v>398</v>
      </c>
      <c r="K149" s="1">
        <v>45530</v>
      </c>
      <c r="L149" s="1">
        <v>45257</v>
      </c>
      <c r="M149" t="s">
        <v>35</v>
      </c>
      <c r="O149">
        <v>0</v>
      </c>
      <c r="P149" t="s">
        <v>36</v>
      </c>
      <c r="Q149" t="s">
        <v>65</v>
      </c>
      <c r="R149" s="2">
        <v>240.05</v>
      </c>
      <c r="S149" s="2">
        <v>0</v>
      </c>
      <c r="T149" s="2">
        <v>212.21</v>
      </c>
      <c r="U149" s="2">
        <v>452.26</v>
      </c>
      <c r="V149" s="2">
        <v>240.05</v>
      </c>
      <c r="W149" s="2">
        <v>0</v>
      </c>
      <c r="X149" s="2">
        <v>212.21</v>
      </c>
      <c r="Y149" s="2">
        <v>452.26</v>
      </c>
      <c r="Z149" s="2">
        <v>0</v>
      </c>
      <c r="AA149" s="2">
        <v>0</v>
      </c>
      <c r="AB149" s="2">
        <v>0</v>
      </c>
      <c r="AC149" s="2">
        <v>0</v>
      </c>
      <c r="AD149" s="2">
        <v>0</v>
      </c>
    </row>
    <row r="150" spans="1:30" x14ac:dyDescent="0.35">
      <c r="A150" t="s">
        <v>38</v>
      </c>
      <c r="B150" t="s">
        <v>481</v>
      </c>
      <c r="C150" t="s">
        <v>31</v>
      </c>
      <c r="D150" s="23" t="s">
        <v>2448</v>
      </c>
      <c r="E150" s="1">
        <v>45498</v>
      </c>
      <c r="F150" s="3">
        <v>2024</v>
      </c>
      <c r="G150" s="1">
        <v>45498</v>
      </c>
      <c r="H150" t="s">
        <v>226</v>
      </c>
      <c r="I150" t="s">
        <v>51</v>
      </c>
      <c r="J150" t="s">
        <v>309</v>
      </c>
      <c r="K150" s="1">
        <v>45548</v>
      </c>
      <c r="L150" s="1">
        <v>43405</v>
      </c>
      <c r="M150" t="s">
        <v>35</v>
      </c>
      <c r="O150">
        <v>0</v>
      </c>
      <c r="P150" t="s">
        <v>47</v>
      </c>
      <c r="Q150" t="s">
        <v>280</v>
      </c>
      <c r="R150" s="2">
        <v>612.98</v>
      </c>
      <c r="S150" s="2">
        <v>0</v>
      </c>
      <c r="T150" s="2">
        <v>19.46</v>
      </c>
      <c r="U150" s="2">
        <v>632.44000000000005</v>
      </c>
      <c r="V150" s="2">
        <v>612.98</v>
      </c>
      <c r="W150" s="2">
        <v>0</v>
      </c>
      <c r="X150" s="2">
        <v>19.46</v>
      </c>
      <c r="Y150" s="2">
        <v>632.44000000000005</v>
      </c>
      <c r="Z150" s="2">
        <v>0</v>
      </c>
      <c r="AA150" s="2">
        <v>0</v>
      </c>
      <c r="AB150" s="2">
        <v>0</v>
      </c>
      <c r="AC150" s="2">
        <v>0</v>
      </c>
      <c r="AD150" s="2">
        <v>0</v>
      </c>
    </row>
    <row r="151" spans="1:30" x14ac:dyDescent="0.35">
      <c r="A151" t="s">
        <v>82</v>
      </c>
      <c r="B151" t="s">
        <v>496</v>
      </c>
      <c r="C151" t="s">
        <v>31</v>
      </c>
      <c r="D151" s="23" t="s">
        <v>2448</v>
      </c>
      <c r="E151" s="1">
        <v>45498</v>
      </c>
      <c r="F151" s="3">
        <v>2024</v>
      </c>
      <c r="G151" s="1">
        <v>45540</v>
      </c>
      <c r="H151" t="s">
        <v>497</v>
      </c>
      <c r="I151" t="s">
        <v>69</v>
      </c>
      <c r="J151" t="s">
        <v>162</v>
      </c>
      <c r="K151" t="s">
        <v>35</v>
      </c>
      <c r="L151" s="1">
        <v>45498</v>
      </c>
      <c r="M151" t="s">
        <v>35</v>
      </c>
      <c r="O151">
        <v>0</v>
      </c>
      <c r="P151" t="s">
        <v>75</v>
      </c>
      <c r="Q151" t="s">
        <v>65</v>
      </c>
      <c r="R151" s="2">
        <v>0</v>
      </c>
      <c r="S151" s="2">
        <v>0</v>
      </c>
      <c r="T151" s="2">
        <v>0</v>
      </c>
      <c r="U151" s="2">
        <v>0</v>
      </c>
      <c r="V151" s="2">
        <v>0</v>
      </c>
      <c r="W151" s="2">
        <v>0</v>
      </c>
      <c r="X151" s="2">
        <v>0</v>
      </c>
      <c r="Y151" s="2">
        <v>0</v>
      </c>
      <c r="Z151" s="2">
        <v>0</v>
      </c>
      <c r="AA151" s="2">
        <v>0</v>
      </c>
      <c r="AB151" s="2">
        <v>0</v>
      </c>
      <c r="AC151" s="2">
        <v>0</v>
      </c>
      <c r="AD151" s="2">
        <v>0</v>
      </c>
    </row>
    <row r="152" spans="1:30" x14ac:dyDescent="0.35">
      <c r="A152" t="s">
        <v>38</v>
      </c>
      <c r="B152" t="s">
        <v>279</v>
      </c>
      <c r="C152" t="s">
        <v>132</v>
      </c>
      <c r="D152" s="23" t="s">
        <v>2448</v>
      </c>
      <c r="E152" s="1">
        <v>45502</v>
      </c>
      <c r="F152" s="3">
        <v>2024</v>
      </c>
      <c r="G152" s="1">
        <v>45512</v>
      </c>
      <c r="H152" t="s">
        <v>32</v>
      </c>
      <c r="I152" t="s">
        <v>33</v>
      </c>
      <c r="J152" t="s">
        <v>251</v>
      </c>
      <c r="K152" t="s">
        <v>35</v>
      </c>
      <c r="L152" s="1">
        <v>45131</v>
      </c>
      <c r="M152" t="s">
        <v>35</v>
      </c>
      <c r="N152" t="s">
        <v>158</v>
      </c>
      <c r="O152">
        <v>464</v>
      </c>
      <c r="P152" t="s">
        <v>64</v>
      </c>
      <c r="Q152" t="s">
        <v>280</v>
      </c>
      <c r="R152" s="2">
        <v>12689</v>
      </c>
      <c r="S152" s="2">
        <v>156614</v>
      </c>
      <c r="T152" s="2">
        <v>19651</v>
      </c>
      <c r="U152" s="2">
        <v>188954</v>
      </c>
      <c r="V152" s="2">
        <v>4129.43</v>
      </c>
      <c r="W152" s="2">
        <v>44782.39</v>
      </c>
      <c r="X152" s="2">
        <v>13994.9</v>
      </c>
      <c r="Y152" s="2">
        <v>62906.720000000001</v>
      </c>
      <c r="Z152" s="2">
        <v>8559.57</v>
      </c>
      <c r="AA152" s="2">
        <v>111831.61</v>
      </c>
      <c r="AB152" s="2">
        <v>5656.1</v>
      </c>
      <c r="AC152" s="2">
        <v>126047.28</v>
      </c>
      <c r="AD152" s="2">
        <v>0</v>
      </c>
    </row>
    <row r="153" spans="1:30" x14ac:dyDescent="0.35">
      <c r="A153" t="s">
        <v>38</v>
      </c>
      <c r="B153" t="s">
        <v>383</v>
      </c>
      <c r="C153" t="s">
        <v>31</v>
      </c>
      <c r="D153" s="23" t="s">
        <v>2448</v>
      </c>
      <c r="E153" s="1">
        <v>45502</v>
      </c>
      <c r="F153" s="3">
        <v>2024</v>
      </c>
      <c r="G153" s="1">
        <v>45503</v>
      </c>
      <c r="H153" t="s">
        <v>144</v>
      </c>
      <c r="I153" t="s">
        <v>121</v>
      </c>
      <c r="J153" t="s">
        <v>309</v>
      </c>
      <c r="K153" t="s">
        <v>35</v>
      </c>
      <c r="L153" s="1">
        <v>45293</v>
      </c>
      <c r="M153" t="s">
        <v>35</v>
      </c>
      <c r="O153">
        <v>0</v>
      </c>
      <c r="P153" t="s">
        <v>36</v>
      </c>
      <c r="Q153" t="s">
        <v>191</v>
      </c>
      <c r="R153" s="2">
        <v>648.59</v>
      </c>
      <c r="S153" s="2">
        <v>0</v>
      </c>
      <c r="T153" s="2">
        <v>12.68</v>
      </c>
      <c r="U153" s="2">
        <v>661.27</v>
      </c>
      <c r="V153" s="2">
        <v>648.59</v>
      </c>
      <c r="W153" s="2">
        <v>0</v>
      </c>
      <c r="X153" s="2">
        <v>12.68</v>
      </c>
      <c r="Y153" s="2">
        <v>661.27</v>
      </c>
      <c r="Z153" s="2">
        <v>0</v>
      </c>
      <c r="AA153" s="2">
        <v>0</v>
      </c>
      <c r="AB153" s="2">
        <v>0</v>
      </c>
      <c r="AC153" s="2">
        <v>0</v>
      </c>
      <c r="AD153" s="2">
        <v>0</v>
      </c>
    </row>
    <row r="154" spans="1:30" x14ac:dyDescent="0.35">
      <c r="A154" t="s">
        <v>38</v>
      </c>
      <c r="B154" t="s">
        <v>424</v>
      </c>
      <c r="C154" t="s">
        <v>31</v>
      </c>
      <c r="D154" s="23" t="s">
        <v>2448</v>
      </c>
      <c r="E154" s="1">
        <v>45504</v>
      </c>
      <c r="F154" s="3">
        <v>2024</v>
      </c>
      <c r="G154" s="1">
        <v>45504</v>
      </c>
      <c r="H154" t="s">
        <v>148</v>
      </c>
      <c r="I154" t="s">
        <v>69</v>
      </c>
      <c r="J154" t="s">
        <v>292</v>
      </c>
      <c r="K154" s="1">
        <v>45534</v>
      </c>
      <c r="L154" s="1">
        <v>45504</v>
      </c>
      <c r="M154" s="1">
        <v>45534</v>
      </c>
      <c r="O154">
        <v>0</v>
      </c>
      <c r="P154" t="s">
        <v>75</v>
      </c>
      <c r="Q154" t="s">
        <v>59</v>
      </c>
      <c r="R154" s="2">
        <v>2229.87</v>
      </c>
      <c r="S154" s="2">
        <v>0</v>
      </c>
      <c r="T154" s="2">
        <v>4106.6000000000004</v>
      </c>
      <c r="U154" s="2">
        <v>6336.47</v>
      </c>
      <c r="V154" s="2">
        <v>2229.87</v>
      </c>
      <c r="W154" s="2">
        <v>0</v>
      </c>
      <c r="X154" s="2">
        <v>4106.6000000000004</v>
      </c>
      <c r="Y154" s="2">
        <v>6336.47</v>
      </c>
      <c r="Z154" s="2">
        <v>0</v>
      </c>
      <c r="AA154" s="2">
        <v>0</v>
      </c>
      <c r="AB154" s="2">
        <v>0</v>
      </c>
      <c r="AC154" s="2">
        <v>0</v>
      </c>
      <c r="AD154" s="2">
        <v>0</v>
      </c>
    </row>
    <row r="155" spans="1:30" x14ac:dyDescent="0.35">
      <c r="A155" t="s">
        <v>265</v>
      </c>
      <c r="B155" t="s">
        <v>439</v>
      </c>
      <c r="C155" t="s">
        <v>31</v>
      </c>
      <c r="D155" s="23" t="s">
        <v>2448</v>
      </c>
      <c r="E155" s="1">
        <v>45504</v>
      </c>
      <c r="F155" s="3">
        <v>2024</v>
      </c>
      <c r="G155" s="1">
        <v>45587</v>
      </c>
      <c r="H155" t="s">
        <v>84</v>
      </c>
      <c r="I155" t="s">
        <v>85</v>
      </c>
      <c r="J155" t="s">
        <v>440</v>
      </c>
      <c r="K155" s="1">
        <v>45681</v>
      </c>
      <c r="L155" s="1">
        <v>45504</v>
      </c>
      <c r="M155" t="s">
        <v>35</v>
      </c>
      <c r="O155">
        <v>0</v>
      </c>
      <c r="P155" t="s">
        <v>41</v>
      </c>
      <c r="Q155" t="s">
        <v>42</v>
      </c>
      <c r="R155" s="2">
        <v>272.44</v>
      </c>
      <c r="S155" s="2">
        <v>0</v>
      </c>
      <c r="T155" s="2">
        <v>1.67</v>
      </c>
      <c r="U155" s="2">
        <v>274.11</v>
      </c>
      <c r="V155" s="2">
        <v>272.44</v>
      </c>
      <c r="W155" s="2">
        <v>0</v>
      </c>
      <c r="X155" s="2">
        <v>1.67</v>
      </c>
      <c r="Y155" s="2">
        <v>274.11</v>
      </c>
      <c r="Z155" s="2">
        <v>0</v>
      </c>
      <c r="AA155" s="2">
        <v>0</v>
      </c>
      <c r="AB155" s="2">
        <v>0</v>
      </c>
      <c r="AC155" s="2">
        <v>0</v>
      </c>
      <c r="AD155" s="2">
        <v>0</v>
      </c>
    </row>
    <row r="156" spans="1:30" x14ac:dyDescent="0.35">
      <c r="A156" t="s">
        <v>82</v>
      </c>
      <c r="B156" t="s">
        <v>229</v>
      </c>
      <c r="C156" t="s">
        <v>132</v>
      </c>
      <c r="D156" s="23" t="s">
        <v>2448</v>
      </c>
      <c r="E156" s="1">
        <v>45505</v>
      </c>
      <c r="F156" s="3">
        <v>2024</v>
      </c>
      <c r="G156" s="1">
        <v>45510</v>
      </c>
      <c r="H156" t="s">
        <v>32</v>
      </c>
      <c r="I156" t="s">
        <v>33</v>
      </c>
      <c r="J156" t="s">
        <v>128</v>
      </c>
      <c r="K156" t="s">
        <v>35</v>
      </c>
      <c r="L156" s="1">
        <v>41837</v>
      </c>
      <c r="M156" t="s">
        <v>35</v>
      </c>
      <c r="O156">
        <v>134</v>
      </c>
      <c r="P156" t="s">
        <v>36</v>
      </c>
      <c r="Q156" t="s">
        <v>87</v>
      </c>
      <c r="R156" s="2">
        <v>22157</v>
      </c>
      <c r="S156" s="2">
        <v>61365</v>
      </c>
      <c r="T156" s="2">
        <v>16953</v>
      </c>
      <c r="U156" s="2">
        <v>100475</v>
      </c>
      <c r="V156" s="2">
        <v>9865.81</v>
      </c>
      <c r="W156" s="2">
        <v>10188.780000000001</v>
      </c>
      <c r="X156" s="2">
        <v>8679.33</v>
      </c>
      <c r="Y156" s="2">
        <v>28733.919999999998</v>
      </c>
      <c r="Z156" s="2">
        <v>12291.19</v>
      </c>
      <c r="AA156" s="2">
        <v>51176.22</v>
      </c>
      <c r="AB156" s="2">
        <v>8273.67</v>
      </c>
      <c r="AC156" s="2">
        <v>71741.08</v>
      </c>
      <c r="AD156" s="2">
        <v>0</v>
      </c>
    </row>
    <row r="157" spans="1:30" x14ac:dyDescent="0.35">
      <c r="A157" t="s">
        <v>54</v>
      </c>
      <c r="B157" t="s">
        <v>55</v>
      </c>
      <c r="C157" t="s">
        <v>31</v>
      </c>
      <c r="D157" s="23" t="s">
        <v>2448</v>
      </c>
      <c r="E157" s="1">
        <v>45512</v>
      </c>
      <c r="F157" s="3">
        <v>2024</v>
      </c>
      <c r="G157" s="1">
        <v>45552</v>
      </c>
      <c r="H157" t="s">
        <v>56</v>
      </c>
      <c r="I157" t="s">
        <v>51</v>
      </c>
      <c r="J157" t="s">
        <v>57</v>
      </c>
      <c r="K157" s="1">
        <v>45729</v>
      </c>
      <c r="L157" s="1">
        <v>45243</v>
      </c>
      <c r="M157" t="s">
        <v>35</v>
      </c>
      <c r="N157" t="s">
        <v>58</v>
      </c>
      <c r="O157">
        <v>0</v>
      </c>
      <c r="P157" t="s">
        <v>36</v>
      </c>
      <c r="Q157" t="s">
        <v>59</v>
      </c>
      <c r="R157" s="2">
        <v>480</v>
      </c>
      <c r="S157" s="2">
        <v>21900</v>
      </c>
      <c r="T157" s="2">
        <v>7600.06</v>
      </c>
      <c r="U157" s="2">
        <v>29980.06</v>
      </c>
      <c r="V157" s="2">
        <v>480</v>
      </c>
      <c r="W157" s="2">
        <v>21900</v>
      </c>
      <c r="X157" s="2">
        <v>7600.06</v>
      </c>
      <c r="Y157" s="2">
        <v>29980.06</v>
      </c>
      <c r="Z157" s="2">
        <v>0</v>
      </c>
      <c r="AA157" s="2">
        <v>0</v>
      </c>
      <c r="AB157" s="2">
        <v>0</v>
      </c>
      <c r="AC157" s="2">
        <v>0</v>
      </c>
      <c r="AD157" s="2">
        <v>0</v>
      </c>
    </row>
    <row r="158" spans="1:30" x14ac:dyDescent="0.35">
      <c r="A158" t="s">
        <v>188</v>
      </c>
      <c r="B158" t="s">
        <v>387</v>
      </c>
      <c r="C158" t="s">
        <v>132</v>
      </c>
      <c r="D158" s="23" t="s">
        <v>2448</v>
      </c>
      <c r="E158" s="1">
        <v>45513</v>
      </c>
      <c r="F158" s="3">
        <v>2024</v>
      </c>
      <c r="G158" s="1">
        <v>45513</v>
      </c>
      <c r="H158" t="s">
        <v>61</v>
      </c>
      <c r="I158" t="s">
        <v>62</v>
      </c>
      <c r="J158" t="s">
        <v>34</v>
      </c>
      <c r="K158" t="s">
        <v>35</v>
      </c>
      <c r="L158" s="1">
        <v>45180</v>
      </c>
      <c r="M158" s="1">
        <v>45539</v>
      </c>
      <c r="N158" t="s">
        <v>158</v>
      </c>
      <c r="O158">
        <v>0</v>
      </c>
      <c r="P158" t="s">
        <v>36</v>
      </c>
      <c r="Q158" t="s">
        <v>65</v>
      </c>
      <c r="R158" s="2">
        <v>4000</v>
      </c>
      <c r="S158" s="2">
        <v>5000</v>
      </c>
      <c r="T158" s="2">
        <v>10001</v>
      </c>
      <c r="U158" s="2">
        <v>19001</v>
      </c>
      <c r="V158" s="2">
        <v>1913.16</v>
      </c>
      <c r="W158" s="2">
        <v>0</v>
      </c>
      <c r="X158" s="2">
        <v>4601.78</v>
      </c>
      <c r="Y158" s="2">
        <v>6514.94</v>
      </c>
      <c r="Z158" s="2">
        <v>2086.84</v>
      </c>
      <c r="AA158" s="2">
        <v>5000</v>
      </c>
      <c r="AB158" s="2">
        <v>5399.22</v>
      </c>
      <c r="AC158" s="2">
        <v>12486.06</v>
      </c>
      <c r="AD158" s="2">
        <v>0</v>
      </c>
    </row>
    <row r="159" spans="1:30" x14ac:dyDescent="0.35">
      <c r="A159" t="s">
        <v>38</v>
      </c>
      <c r="B159" t="s">
        <v>104</v>
      </c>
      <c r="C159" t="s">
        <v>31</v>
      </c>
      <c r="D159" s="23" t="s">
        <v>2448</v>
      </c>
      <c r="E159" s="1">
        <v>45517</v>
      </c>
      <c r="F159" s="3">
        <v>2024</v>
      </c>
      <c r="G159" s="1">
        <v>45545</v>
      </c>
      <c r="H159" t="s">
        <v>32</v>
      </c>
      <c r="I159" t="s">
        <v>33</v>
      </c>
      <c r="J159" t="s">
        <v>40</v>
      </c>
      <c r="K159" s="1">
        <v>45715</v>
      </c>
      <c r="L159" s="1">
        <v>43484</v>
      </c>
      <c r="M159" t="s">
        <v>35</v>
      </c>
      <c r="O159">
        <v>0</v>
      </c>
      <c r="P159" t="s">
        <v>36</v>
      </c>
      <c r="Q159" t="s">
        <v>105</v>
      </c>
      <c r="R159" s="2">
        <v>20.100000000000001</v>
      </c>
      <c r="S159" s="2">
        <v>0</v>
      </c>
      <c r="T159" s="2">
        <v>122.34</v>
      </c>
      <c r="U159" s="2">
        <v>142.44</v>
      </c>
      <c r="V159" s="2">
        <v>20.100000000000001</v>
      </c>
      <c r="W159" s="2">
        <v>0</v>
      </c>
      <c r="X159" s="2">
        <v>122.34</v>
      </c>
      <c r="Y159" s="2">
        <v>142.44</v>
      </c>
      <c r="Z159" s="2">
        <v>0</v>
      </c>
      <c r="AA159" s="2">
        <v>0</v>
      </c>
      <c r="AB159" s="2">
        <v>0</v>
      </c>
      <c r="AC159" s="2">
        <v>0</v>
      </c>
      <c r="AD159" s="2">
        <v>-133.97</v>
      </c>
    </row>
    <row r="160" spans="1:30" x14ac:dyDescent="0.35">
      <c r="A160" t="s">
        <v>38</v>
      </c>
      <c r="B160" t="s">
        <v>258</v>
      </c>
      <c r="C160" t="s">
        <v>31</v>
      </c>
      <c r="D160" s="23" t="s">
        <v>2448</v>
      </c>
      <c r="E160" s="1">
        <v>45518</v>
      </c>
      <c r="F160" s="3">
        <v>2024</v>
      </c>
      <c r="G160" s="1">
        <v>45534</v>
      </c>
      <c r="H160" t="s">
        <v>208</v>
      </c>
      <c r="I160" t="s">
        <v>69</v>
      </c>
      <c r="J160" t="s">
        <v>259</v>
      </c>
      <c r="K160" t="s">
        <v>35</v>
      </c>
      <c r="L160" s="1">
        <v>45293</v>
      </c>
      <c r="M160" t="s">
        <v>35</v>
      </c>
      <c r="O160">
        <v>0</v>
      </c>
      <c r="P160" t="s">
        <v>150</v>
      </c>
      <c r="Q160" t="s">
        <v>151</v>
      </c>
      <c r="R160" s="2">
        <v>204.04</v>
      </c>
      <c r="S160" s="2">
        <v>0</v>
      </c>
      <c r="T160" s="2">
        <v>213.5</v>
      </c>
      <c r="U160" s="2">
        <v>417.54</v>
      </c>
      <c r="V160" s="2">
        <v>204.04</v>
      </c>
      <c r="W160" s="2">
        <v>0</v>
      </c>
      <c r="X160" s="2">
        <v>213.5</v>
      </c>
      <c r="Y160" s="2">
        <v>417.54</v>
      </c>
      <c r="Z160" s="2">
        <v>0</v>
      </c>
      <c r="AA160" s="2">
        <v>0</v>
      </c>
      <c r="AB160" s="2">
        <v>0</v>
      </c>
      <c r="AC160" s="2">
        <v>0</v>
      </c>
      <c r="AD160" s="2">
        <v>0</v>
      </c>
    </row>
    <row r="161" spans="1:30" x14ac:dyDescent="0.35">
      <c r="A161" t="s">
        <v>38</v>
      </c>
      <c r="B161" t="s">
        <v>77</v>
      </c>
      <c r="C161" t="s">
        <v>31</v>
      </c>
      <c r="D161" s="23" t="s">
        <v>2448</v>
      </c>
      <c r="E161" s="1">
        <v>45520</v>
      </c>
      <c r="F161" s="3">
        <v>2024</v>
      </c>
      <c r="G161" s="1">
        <v>45524</v>
      </c>
      <c r="H161" t="s">
        <v>78</v>
      </c>
      <c r="I161" t="s">
        <v>79</v>
      </c>
      <c r="J161" t="s">
        <v>80</v>
      </c>
      <c r="K161" t="s">
        <v>35</v>
      </c>
      <c r="L161" s="1">
        <v>45243</v>
      </c>
      <c r="M161" t="s">
        <v>35</v>
      </c>
      <c r="O161">
        <v>0</v>
      </c>
      <c r="P161" t="s">
        <v>36</v>
      </c>
      <c r="Q161" t="s">
        <v>81</v>
      </c>
      <c r="R161" s="2">
        <v>2326.15</v>
      </c>
      <c r="S161" s="2">
        <v>0</v>
      </c>
      <c r="T161" s="2">
        <v>1476.64</v>
      </c>
      <c r="U161" s="2">
        <v>3802.79</v>
      </c>
      <c r="V161" s="2">
        <v>2326.15</v>
      </c>
      <c r="W161" s="2">
        <v>0</v>
      </c>
      <c r="X161" s="2">
        <v>1476.64</v>
      </c>
      <c r="Y161" s="2">
        <v>3802.79</v>
      </c>
      <c r="Z161" s="2">
        <v>0</v>
      </c>
      <c r="AA161" s="2">
        <v>0</v>
      </c>
      <c r="AB161" s="2">
        <v>0</v>
      </c>
      <c r="AC161" s="2">
        <v>0</v>
      </c>
      <c r="AD161" s="2">
        <v>0</v>
      </c>
    </row>
    <row r="162" spans="1:30" x14ac:dyDescent="0.35">
      <c r="A162" t="s">
        <v>90</v>
      </c>
      <c r="B162" t="s">
        <v>499</v>
      </c>
      <c r="C162" t="s">
        <v>31</v>
      </c>
      <c r="D162" s="23" t="s">
        <v>2448</v>
      </c>
      <c r="E162" s="1">
        <v>45525</v>
      </c>
      <c r="F162" s="3">
        <v>2024</v>
      </c>
      <c r="G162" s="1">
        <v>45544</v>
      </c>
      <c r="H162" t="s">
        <v>148</v>
      </c>
      <c r="I162" t="s">
        <v>69</v>
      </c>
      <c r="J162" t="s">
        <v>63</v>
      </c>
      <c r="K162" s="1">
        <v>45939</v>
      </c>
      <c r="L162" s="1">
        <v>45047</v>
      </c>
      <c r="M162" t="s">
        <v>35</v>
      </c>
      <c r="O162">
        <v>266</v>
      </c>
      <c r="P162" t="s">
        <v>95</v>
      </c>
      <c r="Q162" t="s">
        <v>76</v>
      </c>
      <c r="R162" s="2">
        <v>37143.9</v>
      </c>
      <c r="S162" s="2">
        <v>35768.639999999999</v>
      </c>
      <c r="T162" s="2">
        <v>19951.419999999998</v>
      </c>
      <c r="U162" s="2">
        <v>92863.96</v>
      </c>
      <c r="V162" s="2">
        <v>37143.9</v>
      </c>
      <c r="W162" s="2">
        <v>35768.639999999999</v>
      </c>
      <c r="X162" s="2">
        <v>19951.419999999998</v>
      </c>
      <c r="Y162" s="2">
        <v>92863.96</v>
      </c>
      <c r="Z162" s="2">
        <v>0</v>
      </c>
      <c r="AA162" s="2">
        <v>0</v>
      </c>
      <c r="AB162" s="2">
        <v>0</v>
      </c>
      <c r="AC162" s="2">
        <v>0</v>
      </c>
      <c r="AD162" s="2">
        <v>0</v>
      </c>
    </row>
    <row r="163" spans="1:30" x14ac:dyDescent="0.35">
      <c r="A163" t="s">
        <v>90</v>
      </c>
      <c r="B163" t="s">
        <v>311</v>
      </c>
      <c r="C163" t="s">
        <v>31</v>
      </c>
      <c r="D163" s="23" t="s">
        <v>2448</v>
      </c>
      <c r="E163" s="1">
        <v>45534</v>
      </c>
      <c r="F163" s="3">
        <v>2024</v>
      </c>
      <c r="G163" s="1">
        <v>45534</v>
      </c>
      <c r="H163" t="s">
        <v>148</v>
      </c>
      <c r="I163" t="s">
        <v>69</v>
      </c>
      <c r="J163" t="s">
        <v>312</v>
      </c>
      <c r="K163" s="1">
        <v>45667</v>
      </c>
      <c r="L163" s="1">
        <v>37963</v>
      </c>
      <c r="M163" s="1">
        <v>45667</v>
      </c>
      <c r="O163">
        <v>0</v>
      </c>
      <c r="P163" t="s">
        <v>64</v>
      </c>
      <c r="Q163" t="s">
        <v>280</v>
      </c>
      <c r="R163" s="2">
        <v>1486.27</v>
      </c>
      <c r="S163" s="2">
        <v>0</v>
      </c>
      <c r="T163" s="2">
        <v>8550.99</v>
      </c>
      <c r="U163" s="2">
        <v>10037.26</v>
      </c>
      <c r="V163" s="2">
        <v>1486.27</v>
      </c>
      <c r="W163" s="2">
        <v>0</v>
      </c>
      <c r="X163" s="2">
        <v>8550.99</v>
      </c>
      <c r="Y163" s="2">
        <v>10037.26</v>
      </c>
      <c r="Z163" s="2">
        <v>0</v>
      </c>
      <c r="AA163" s="2">
        <v>0</v>
      </c>
      <c r="AB163" s="2">
        <v>0</v>
      </c>
      <c r="AC163" s="2">
        <v>0</v>
      </c>
      <c r="AD163" s="2">
        <v>0</v>
      </c>
    </row>
    <row r="164" spans="1:30" x14ac:dyDescent="0.35">
      <c r="A164" t="s">
        <v>54</v>
      </c>
      <c r="B164" t="s">
        <v>388</v>
      </c>
      <c r="C164" t="s">
        <v>31</v>
      </c>
      <c r="D164" s="23" t="s">
        <v>2448</v>
      </c>
      <c r="E164" s="1">
        <v>45537</v>
      </c>
      <c r="F164" s="3">
        <v>2024</v>
      </c>
      <c r="G164" s="1">
        <v>45573</v>
      </c>
      <c r="H164" t="s">
        <v>56</v>
      </c>
      <c r="I164" t="s">
        <v>51</v>
      </c>
      <c r="J164" t="s">
        <v>389</v>
      </c>
      <c r="K164" s="1">
        <v>45805</v>
      </c>
      <c r="L164" s="1">
        <v>45537</v>
      </c>
      <c r="M164" s="1">
        <v>45800</v>
      </c>
      <c r="N164" t="s">
        <v>58</v>
      </c>
      <c r="O164">
        <v>0</v>
      </c>
      <c r="P164" t="s">
        <v>243</v>
      </c>
      <c r="Q164" t="s">
        <v>280</v>
      </c>
      <c r="R164" s="2">
        <v>0</v>
      </c>
      <c r="S164" s="2">
        <v>4000</v>
      </c>
      <c r="T164" s="2">
        <v>3975.08</v>
      </c>
      <c r="U164" s="2">
        <v>7975.08</v>
      </c>
      <c r="V164" s="2">
        <v>0</v>
      </c>
      <c r="W164" s="2">
        <v>4000</v>
      </c>
      <c r="X164" s="2">
        <v>3975.08</v>
      </c>
      <c r="Y164" s="2">
        <v>7975.08</v>
      </c>
      <c r="Z164" s="2">
        <v>0</v>
      </c>
      <c r="AA164" s="2">
        <v>0</v>
      </c>
      <c r="AB164" s="2">
        <v>0</v>
      </c>
      <c r="AC164" s="2">
        <v>0</v>
      </c>
      <c r="AD164" s="2">
        <v>0</v>
      </c>
    </row>
    <row r="165" spans="1:30" x14ac:dyDescent="0.35">
      <c r="A165" t="s">
        <v>54</v>
      </c>
      <c r="B165" t="s">
        <v>390</v>
      </c>
      <c r="C165" t="s">
        <v>31</v>
      </c>
      <c r="D165" s="23" t="s">
        <v>2448</v>
      </c>
      <c r="E165" s="1">
        <v>45538</v>
      </c>
      <c r="F165" s="3">
        <v>2024</v>
      </c>
      <c r="G165" s="1">
        <v>45573</v>
      </c>
      <c r="H165" t="s">
        <v>56</v>
      </c>
      <c r="I165" t="s">
        <v>51</v>
      </c>
      <c r="J165" t="s">
        <v>186</v>
      </c>
      <c r="K165" s="1">
        <v>45681</v>
      </c>
      <c r="L165" s="1">
        <v>45538</v>
      </c>
      <c r="M165" t="s">
        <v>35</v>
      </c>
      <c r="N165" t="s">
        <v>58</v>
      </c>
      <c r="O165">
        <v>0</v>
      </c>
      <c r="P165" t="s">
        <v>243</v>
      </c>
      <c r="Q165" t="s">
        <v>59</v>
      </c>
      <c r="R165" s="2">
        <v>0</v>
      </c>
      <c r="S165" s="2">
        <v>27500</v>
      </c>
      <c r="T165" s="2">
        <v>103.2</v>
      </c>
      <c r="U165" s="2">
        <v>27603.200000000001</v>
      </c>
      <c r="V165" s="2">
        <v>0</v>
      </c>
      <c r="W165" s="2">
        <v>27500</v>
      </c>
      <c r="X165" s="2">
        <v>103.2</v>
      </c>
      <c r="Y165" s="2">
        <v>27603.200000000001</v>
      </c>
      <c r="Z165" s="2">
        <v>0</v>
      </c>
      <c r="AA165" s="2">
        <v>0</v>
      </c>
      <c r="AB165" s="2">
        <v>0</v>
      </c>
      <c r="AC165" s="2">
        <v>0</v>
      </c>
      <c r="AD165" s="2">
        <v>0</v>
      </c>
    </row>
    <row r="166" spans="1:30" x14ac:dyDescent="0.35">
      <c r="A166" t="s">
        <v>90</v>
      </c>
      <c r="B166" t="s">
        <v>91</v>
      </c>
      <c r="C166" t="s">
        <v>31</v>
      </c>
      <c r="D166" s="23" t="s">
        <v>2448</v>
      </c>
      <c r="E166" s="1">
        <v>45551</v>
      </c>
      <c r="F166" s="3">
        <v>2024</v>
      </c>
      <c r="G166" s="1">
        <v>45554</v>
      </c>
      <c r="H166" t="s">
        <v>32</v>
      </c>
      <c r="I166" t="s">
        <v>33</v>
      </c>
      <c r="J166" t="s">
        <v>92</v>
      </c>
      <c r="K166" s="1">
        <v>45569</v>
      </c>
      <c r="L166" s="1">
        <v>44614</v>
      </c>
      <c r="M166" t="s">
        <v>35</v>
      </c>
      <c r="O166">
        <v>0</v>
      </c>
      <c r="P166" t="s">
        <v>36</v>
      </c>
      <c r="Q166" t="s">
        <v>93</v>
      </c>
      <c r="R166" s="2">
        <v>157.63999999999999</v>
      </c>
      <c r="S166" s="2">
        <v>0</v>
      </c>
      <c r="T166" s="2">
        <v>93.7</v>
      </c>
      <c r="U166" s="2">
        <v>251.34</v>
      </c>
      <c r="V166" s="2">
        <v>157.63999999999999</v>
      </c>
      <c r="W166" s="2">
        <v>0</v>
      </c>
      <c r="X166" s="2">
        <v>93.7</v>
      </c>
      <c r="Y166" s="2">
        <v>251.34</v>
      </c>
      <c r="Z166" s="2">
        <v>0</v>
      </c>
      <c r="AA166" s="2">
        <v>0</v>
      </c>
      <c r="AB166" s="2">
        <v>0</v>
      </c>
      <c r="AC166" s="2">
        <v>0</v>
      </c>
      <c r="AD166" s="2">
        <v>0</v>
      </c>
    </row>
    <row r="167" spans="1:30" x14ac:dyDescent="0.35">
      <c r="A167" t="s">
        <v>29</v>
      </c>
      <c r="B167" t="s">
        <v>366</v>
      </c>
      <c r="C167" t="s">
        <v>31</v>
      </c>
      <c r="D167" s="23" t="s">
        <v>2448</v>
      </c>
      <c r="E167" s="1">
        <v>45553</v>
      </c>
      <c r="F167" s="3">
        <v>2024</v>
      </c>
      <c r="G167" s="1">
        <v>45554</v>
      </c>
      <c r="H167" t="s">
        <v>84</v>
      </c>
      <c r="I167" t="s">
        <v>85</v>
      </c>
      <c r="J167" t="s">
        <v>257</v>
      </c>
      <c r="K167" s="1">
        <v>45966</v>
      </c>
      <c r="L167" s="1">
        <v>45200</v>
      </c>
      <c r="M167" s="1">
        <v>45965</v>
      </c>
      <c r="O167">
        <v>296</v>
      </c>
      <c r="P167" t="s">
        <v>36</v>
      </c>
      <c r="Q167" t="s">
        <v>159</v>
      </c>
      <c r="R167" s="2">
        <v>17582.03</v>
      </c>
      <c r="S167" s="2">
        <v>40424.28</v>
      </c>
      <c r="T167" s="2">
        <v>16634.599999999999</v>
      </c>
      <c r="U167" s="2">
        <v>74640.91</v>
      </c>
      <c r="V167" s="2">
        <v>17582.03</v>
      </c>
      <c r="W167" s="2">
        <v>40424.28</v>
      </c>
      <c r="X167" s="2">
        <v>16634.599999999999</v>
      </c>
      <c r="Y167" s="2">
        <v>74640.91</v>
      </c>
      <c r="Z167" s="2">
        <v>0</v>
      </c>
      <c r="AA167" s="2">
        <v>0</v>
      </c>
      <c r="AB167" s="2">
        <v>0</v>
      </c>
      <c r="AC167" s="2">
        <v>0</v>
      </c>
      <c r="AD167" s="2">
        <v>0</v>
      </c>
    </row>
    <row r="168" spans="1:30" x14ac:dyDescent="0.35">
      <c r="A168" t="s">
        <v>38</v>
      </c>
      <c r="B168" t="s">
        <v>177</v>
      </c>
      <c r="C168" t="s">
        <v>31</v>
      </c>
      <c r="D168" s="23" t="s">
        <v>2448</v>
      </c>
      <c r="E168" s="1">
        <v>45554</v>
      </c>
      <c r="F168" s="3">
        <v>2024</v>
      </c>
      <c r="G168" s="1">
        <v>45559</v>
      </c>
      <c r="H168" t="s">
        <v>32</v>
      </c>
      <c r="I168" t="s">
        <v>33</v>
      </c>
      <c r="J168" t="s">
        <v>46</v>
      </c>
      <c r="K168" s="1">
        <v>45565</v>
      </c>
      <c r="L168" s="1">
        <v>45257</v>
      </c>
      <c r="M168" t="s">
        <v>35</v>
      </c>
      <c r="O168">
        <v>0</v>
      </c>
      <c r="P168" t="s">
        <v>47</v>
      </c>
      <c r="Q168" t="s">
        <v>81</v>
      </c>
      <c r="R168" s="2">
        <v>106.44</v>
      </c>
      <c r="S168" s="2">
        <v>0</v>
      </c>
      <c r="T168" s="2">
        <v>189.98</v>
      </c>
      <c r="U168" s="2">
        <v>296.42</v>
      </c>
      <c r="V168" s="2">
        <v>106.44</v>
      </c>
      <c r="W168" s="2">
        <v>0</v>
      </c>
      <c r="X168" s="2">
        <v>189.98</v>
      </c>
      <c r="Y168" s="2">
        <v>296.42</v>
      </c>
      <c r="Z168" s="2">
        <v>0</v>
      </c>
      <c r="AA168" s="2">
        <v>0</v>
      </c>
      <c r="AB168" s="2">
        <v>0</v>
      </c>
      <c r="AC168" s="2">
        <v>0</v>
      </c>
      <c r="AD168" s="2">
        <v>0</v>
      </c>
    </row>
    <row r="169" spans="1:30" x14ac:dyDescent="0.35">
      <c r="A169" t="s">
        <v>82</v>
      </c>
      <c r="B169" t="s">
        <v>467</v>
      </c>
      <c r="C169" t="s">
        <v>31</v>
      </c>
      <c r="D169" s="23" t="s">
        <v>2448</v>
      </c>
      <c r="E169" s="1">
        <v>45572</v>
      </c>
      <c r="F169" s="3">
        <v>2024</v>
      </c>
      <c r="G169" s="1">
        <v>45588</v>
      </c>
      <c r="H169" t="s">
        <v>330</v>
      </c>
      <c r="I169" t="s">
        <v>51</v>
      </c>
      <c r="J169" t="s">
        <v>401</v>
      </c>
      <c r="K169" t="s">
        <v>35</v>
      </c>
      <c r="L169" s="1">
        <v>44260</v>
      </c>
      <c r="M169" t="s">
        <v>35</v>
      </c>
      <c r="O169">
        <v>0</v>
      </c>
      <c r="P169" t="s">
        <v>36</v>
      </c>
      <c r="Q169" t="s">
        <v>93</v>
      </c>
      <c r="R169" s="2">
        <v>1984.12</v>
      </c>
      <c r="S169" s="2">
        <v>0</v>
      </c>
      <c r="T169" s="2">
        <v>204.27</v>
      </c>
      <c r="U169" s="2">
        <v>2188.39</v>
      </c>
      <c r="V169" s="2">
        <v>1984.12</v>
      </c>
      <c r="W169" s="2">
        <v>0</v>
      </c>
      <c r="X169" s="2">
        <v>204.27</v>
      </c>
      <c r="Y169" s="2">
        <v>2188.39</v>
      </c>
      <c r="Z169" s="2">
        <v>0</v>
      </c>
      <c r="AA169" s="2">
        <v>0</v>
      </c>
      <c r="AB169" s="2">
        <v>0</v>
      </c>
      <c r="AC169" s="2">
        <v>0</v>
      </c>
      <c r="AD169" s="2">
        <v>0</v>
      </c>
    </row>
    <row r="170" spans="1:30" x14ac:dyDescent="0.35">
      <c r="A170" t="s">
        <v>38</v>
      </c>
      <c r="B170" t="s">
        <v>446</v>
      </c>
      <c r="C170" t="s">
        <v>31</v>
      </c>
      <c r="D170" s="23" t="s">
        <v>2448</v>
      </c>
      <c r="E170" s="1">
        <v>45573</v>
      </c>
      <c r="F170" s="3">
        <v>2024</v>
      </c>
      <c r="G170" s="1">
        <v>45588</v>
      </c>
      <c r="H170" t="s">
        <v>164</v>
      </c>
      <c r="I170" t="s">
        <v>51</v>
      </c>
      <c r="J170" t="s">
        <v>447</v>
      </c>
      <c r="K170" s="1">
        <v>45622</v>
      </c>
      <c r="L170" s="1">
        <v>44585</v>
      </c>
      <c r="M170" t="s">
        <v>35</v>
      </c>
      <c r="O170">
        <v>0</v>
      </c>
      <c r="P170" t="s">
        <v>64</v>
      </c>
      <c r="Q170" t="s">
        <v>113</v>
      </c>
      <c r="R170" s="2">
        <v>1519.14</v>
      </c>
      <c r="S170" s="2">
        <v>0</v>
      </c>
      <c r="T170" s="2">
        <v>123.4</v>
      </c>
      <c r="U170" s="2">
        <v>1642.54</v>
      </c>
      <c r="V170" s="2">
        <v>1519.14</v>
      </c>
      <c r="W170" s="2">
        <v>0</v>
      </c>
      <c r="X170" s="2">
        <v>123.4</v>
      </c>
      <c r="Y170" s="2">
        <v>1642.54</v>
      </c>
      <c r="Z170" s="2">
        <v>0</v>
      </c>
      <c r="AA170" s="2">
        <v>0</v>
      </c>
      <c r="AB170" s="2">
        <v>0</v>
      </c>
      <c r="AC170" s="2">
        <v>0</v>
      </c>
      <c r="AD170" s="2">
        <v>0</v>
      </c>
    </row>
    <row r="171" spans="1:30" x14ac:dyDescent="0.35">
      <c r="A171" t="s">
        <v>38</v>
      </c>
      <c r="B171" t="s">
        <v>286</v>
      </c>
      <c r="C171" t="s">
        <v>31</v>
      </c>
      <c r="D171" s="23" t="s">
        <v>2448</v>
      </c>
      <c r="E171" s="1">
        <v>45574</v>
      </c>
      <c r="F171" s="3">
        <v>2024</v>
      </c>
      <c r="G171" s="1">
        <v>45608</v>
      </c>
      <c r="H171" t="s">
        <v>144</v>
      </c>
      <c r="I171" t="s">
        <v>121</v>
      </c>
      <c r="J171" t="s">
        <v>287</v>
      </c>
      <c r="K171" t="s">
        <v>35</v>
      </c>
      <c r="L171" s="1">
        <v>43570</v>
      </c>
      <c r="M171" t="s">
        <v>35</v>
      </c>
      <c r="O171">
        <v>0</v>
      </c>
      <c r="P171" t="s">
        <v>64</v>
      </c>
      <c r="Q171" t="s">
        <v>238</v>
      </c>
      <c r="R171" s="2">
        <v>978.59</v>
      </c>
      <c r="S171" s="2">
        <v>0</v>
      </c>
      <c r="T171" s="2">
        <v>20.85</v>
      </c>
      <c r="U171" s="2">
        <v>999.44</v>
      </c>
      <c r="V171" s="2">
        <v>978.59</v>
      </c>
      <c r="W171" s="2">
        <v>0</v>
      </c>
      <c r="X171" s="2">
        <v>20.85</v>
      </c>
      <c r="Y171" s="2">
        <v>999.44</v>
      </c>
      <c r="Z171" s="2">
        <v>0</v>
      </c>
      <c r="AA171" s="2">
        <v>0</v>
      </c>
      <c r="AB171" s="2">
        <v>0</v>
      </c>
      <c r="AC171" s="2">
        <v>0</v>
      </c>
      <c r="AD171" s="2">
        <v>0</v>
      </c>
    </row>
    <row r="172" spans="1:30" x14ac:dyDescent="0.35">
      <c r="A172" t="s">
        <v>38</v>
      </c>
      <c r="B172" t="s">
        <v>355</v>
      </c>
      <c r="C172" t="s">
        <v>31</v>
      </c>
      <c r="D172" s="23" t="s">
        <v>2448</v>
      </c>
      <c r="E172" s="1">
        <v>45580</v>
      </c>
      <c r="F172" s="3">
        <v>2024</v>
      </c>
      <c r="G172" s="1">
        <v>45610</v>
      </c>
      <c r="H172" t="s">
        <v>245</v>
      </c>
      <c r="I172" t="s">
        <v>356</v>
      </c>
      <c r="J172" t="s">
        <v>46</v>
      </c>
      <c r="K172" s="1">
        <v>45736</v>
      </c>
      <c r="L172" s="1">
        <v>42689</v>
      </c>
      <c r="M172" t="s">
        <v>35</v>
      </c>
      <c r="O172">
        <v>41</v>
      </c>
      <c r="P172" t="s">
        <v>47</v>
      </c>
      <c r="Q172" t="s">
        <v>53</v>
      </c>
      <c r="R172" s="2">
        <v>50.88</v>
      </c>
      <c r="S172" s="2">
        <v>5088.92</v>
      </c>
      <c r="T172" s="2">
        <v>3.77</v>
      </c>
      <c r="U172" s="2">
        <v>5143.57</v>
      </c>
      <c r="V172" s="2">
        <v>50.88</v>
      </c>
      <c r="W172" s="2">
        <v>5088.92</v>
      </c>
      <c r="X172" s="2">
        <v>3.77</v>
      </c>
      <c r="Y172" s="2">
        <v>5143.57</v>
      </c>
      <c r="Z172" s="2">
        <v>0</v>
      </c>
      <c r="AA172" s="2">
        <v>0</v>
      </c>
      <c r="AB172" s="2">
        <v>0</v>
      </c>
      <c r="AC172" s="2">
        <v>0</v>
      </c>
      <c r="AD172" s="2">
        <v>0</v>
      </c>
    </row>
    <row r="173" spans="1:30" x14ac:dyDescent="0.35">
      <c r="A173" t="s">
        <v>88</v>
      </c>
      <c r="B173" t="s">
        <v>133</v>
      </c>
      <c r="C173" t="s">
        <v>31</v>
      </c>
      <c r="D173" s="23" t="s">
        <v>2448</v>
      </c>
      <c r="E173" s="1">
        <v>45581</v>
      </c>
      <c r="F173" s="3">
        <v>2024</v>
      </c>
      <c r="G173" s="1">
        <v>45607</v>
      </c>
      <c r="H173" t="s">
        <v>61</v>
      </c>
      <c r="I173" t="s">
        <v>62</v>
      </c>
      <c r="J173" t="s">
        <v>40</v>
      </c>
      <c r="K173" s="1">
        <v>45789</v>
      </c>
      <c r="L173" s="1">
        <v>45581</v>
      </c>
      <c r="M173" t="s">
        <v>35</v>
      </c>
      <c r="O173">
        <v>0</v>
      </c>
      <c r="P173" t="s">
        <v>95</v>
      </c>
      <c r="Q173" t="s">
        <v>53</v>
      </c>
      <c r="R173" s="2">
        <v>0</v>
      </c>
      <c r="S173" s="2">
        <v>0</v>
      </c>
      <c r="T173" s="2">
        <v>0</v>
      </c>
      <c r="U173" s="2">
        <v>0</v>
      </c>
      <c r="V173" s="2">
        <v>0</v>
      </c>
      <c r="W173" s="2">
        <v>0</v>
      </c>
      <c r="X173" s="2">
        <v>0</v>
      </c>
      <c r="Y173" s="2">
        <v>0</v>
      </c>
      <c r="Z173" s="2">
        <v>0</v>
      </c>
      <c r="AA173" s="2">
        <v>0</v>
      </c>
      <c r="AB173" s="2">
        <v>0</v>
      </c>
      <c r="AC173" s="2">
        <v>0</v>
      </c>
      <c r="AD173" s="2">
        <v>0</v>
      </c>
    </row>
    <row r="174" spans="1:30" x14ac:dyDescent="0.35">
      <c r="A174" t="s">
        <v>271</v>
      </c>
      <c r="B174" t="s">
        <v>430</v>
      </c>
      <c r="C174" t="s">
        <v>31</v>
      </c>
      <c r="D174" s="23" t="s">
        <v>2448</v>
      </c>
      <c r="E174" s="1">
        <v>45588</v>
      </c>
      <c r="F174" s="3">
        <v>2024</v>
      </c>
      <c r="G174" s="1">
        <v>45593</v>
      </c>
      <c r="H174" t="s">
        <v>148</v>
      </c>
      <c r="I174" t="s">
        <v>69</v>
      </c>
      <c r="J174" t="s">
        <v>431</v>
      </c>
      <c r="K174" s="1">
        <v>45630</v>
      </c>
      <c r="L174" s="1">
        <v>42576</v>
      </c>
      <c r="M174" t="s">
        <v>35</v>
      </c>
      <c r="O174">
        <v>0</v>
      </c>
      <c r="P174" t="s">
        <v>273</v>
      </c>
      <c r="Q174" t="s">
        <v>113</v>
      </c>
      <c r="R174" s="2">
        <v>809.06</v>
      </c>
      <c r="S174" s="2">
        <v>0</v>
      </c>
      <c r="T174" s="2">
        <v>15.11</v>
      </c>
      <c r="U174" s="2">
        <v>824.17</v>
      </c>
      <c r="V174" s="2">
        <v>809.06</v>
      </c>
      <c r="W174" s="2">
        <v>0</v>
      </c>
      <c r="X174" s="2">
        <v>15.11</v>
      </c>
      <c r="Y174" s="2">
        <v>824.17</v>
      </c>
      <c r="Z174" s="2">
        <v>0</v>
      </c>
      <c r="AA174" s="2">
        <v>0</v>
      </c>
      <c r="AB174" s="2">
        <v>0</v>
      </c>
      <c r="AC174" s="2">
        <v>0</v>
      </c>
      <c r="AD174" s="2">
        <v>0</v>
      </c>
    </row>
    <row r="175" spans="1:30" x14ac:dyDescent="0.35">
      <c r="A175" t="s">
        <v>29</v>
      </c>
      <c r="B175" t="s">
        <v>303</v>
      </c>
      <c r="C175" t="s">
        <v>132</v>
      </c>
      <c r="D175" s="23" t="s">
        <v>2448</v>
      </c>
      <c r="E175" s="1">
        <v>45593</v>
      </c>
      <c r="F175" s="3">
        <v>2024</v>
      </c>
      <c r="G175" s="1">
        <v>45639</v>
      </c>
      <c r="H175" t="s">
        <v>138</v>
      </c>
      <c r="I175" t="s">
        <v>139</v>
      </c>
      <c r="J175" t="s">
        <v>304</v>
      </c>
      <c r="K175" t="s">
        <v>35</v>
      </c>
      <c r="L175" s="1">
        <v>42527</v>
      </c>
      <c r="M175" t="s">
        <v>35</v>
      </c>
      <c r="N175" t="s">
        <v>158</v>
      </c>
      <c r="O175">
        <v>0</v>
      </c>
      <c r="P175" t="s">
        <v>36</v>
      </c>
      <c r="Q175" t="s">
        <v>93</v>
      </c>
      <c r="R175" s="2">
        <v>2000</v>
      </c>
      <c r="S175" s="2">
        <v>2800</v>
      </c>
      <c r="T175" s="2">
        <v>4900</v>
      </c>
      <c r="U175" s="2">
        <v>9700</v>
      </c>
      <c r="V175" s="2">
        <v>0</v>
      </c>
      <c r="W175" s="2">
        <v>0</v>
      </c>
      <c r="X175" s="2">
        <v>3020.61</v>
      </c>
      <c r="Y175" s="2">
        <v>3020.61</v>
      </c>
      <c r="Z175" s="2">
        <v>2000</v>
      </c>
      <c r="AA175" s="2">
        <v>2800</v>
      </c>
      <c r="AB175" s="2">
        <v>1879.39</v>
      </c>
      <c r="AC175" s="2">
        <v>6679.39</v>
      </c>
      <c r="AD175" s="2">
        <v>0</v>
      </c>
    </row>
    <row r="176" spans="1:30" x14ac:dyDescent="0.35">
      <c r="A176" t="s">
        <v>82</v>
      </c>
      <c r="B176" t="s">
        <v>349</v>
      </c>
      <c r="C176" t="s">
        <v>31</v>
      </c>
      <c r="D176" s="23" t="s">
        <v>2448</v>
      </c>
      <c r="E176" s="1">
        <v>45593</v>
      </c>
      <c r="F176" s="3">
        <v>2024</v>
      </c>
      <c r="G176" s="1">
        <v>45594</v>
      </c>
      <c r="H176" t="s">
        <v>32</v>
      </c>
      <c r="I176" t="s">
        <v>33</v>
      </c>
      <c r="J176" t="s">
        <v>304</v>
      </c>
      <c r="K176" s="1">
        <v>45603</v>
      </c>
      <c r="L176" s="1">
        <v>45236</v>
      </c>
      <c r="M176" t="s">
        <v>35</v>
      </c>
      <c r="O176">
        <v>0</v>
      </c>
      <c r="P176" t="s">
        <v>36</v>
      </c>
      <c r="Q176" t="s">
        <v>159</v>
      </c>
      <c r="R176" s="2">
        <v>254.67</v>
      </c>
      <c r="S176" s="2">
        <v>0</v>
      </c>
      <c r="T176" s="2">
        <v>203.13</v>
      </c>
      <c r="U176" s="2">
        <v>457.8</v>
      </c>
      <c r="V176" s="2">
        <v>254.67</v>
      </c>
      <c r="W176" s="2">
        <v>0</v>
      </c>
      <c r="X176" s="2">
        <v>203.13</v>
      </c>
      <c r="Y176" s="2">
        <v>457.8</v>
      </c>
      <c r="Z176" s="2">
        <v>0</v>
      </c>
      <c r="AA176" s="2">
        <v>0</v>
      </c>
      <c r="AB176" s="2">
        <v>0</v>
      </c>
      <c r="AC176" s="2">
        <v>0</v>
      </c>
      <c r="AD176" s="2">
        <v>0</v>
      </c>
    </row>
    <row r="177" spans="1:30" x14ac:dyDescent="0.35">
      <c r="A177" t="s">
        <v>88</v>
      </c>
      <c r="B177" t="s">
        <v>488</v>
      </c>
      <c r="C177" t="s">
        <v>132</v>
      </c>
      <c r="D177" s="23" t="s">
        <v>2448</v>
      </c>
      <c r="E177" s="1">
        <v>45594</v>
      </c>
      <c r="F177" s="3">
        <v>2024</v>
      </c>
      <c r="G177" s="1">
        <v>45602</v>
      </c>
      <c r="H177" t="s">
        <v>249</v>
      </c>
      <c r="I177" t="s">
        <v>85</v>
      </c>
      <c r="J177" t="s">
        <v>40</v>
      </c>
      <c r="K177" t="s">
        <v>35</v>
      </c>
      <c r="L177" s="1">
        <v>45594</v>
      </c>
      <c r="M177" t="s">
        <v>35</v>
      </c>
      <c r="N177" t="s">
        <v>158</v>
      </c>
      <c r="O177">
        <v>356</v>
      </c>
      <c r="P177" t="s">
        <v>36</v>
      </c>
      <c r="Q177" t="s">
        <v>93</v>
      </c>
      <c r="R177" s="2">
        <v>25178</v>
      </c>
      <c r="S177" s="2">
        <v>69457</v>
      </c>
      <c r="T177" s="2">
        <v>21314</v>
      </c>
      <c r="U177" s="2">
        <v>115949</v>
      </c>
      <c r="V177" s="2">
        <v>12865.28</v>
      </c>
      <c r="W177" s="2">
        <v>49489.62</v>
      </c>
      <c r="X177" s="2">
        <v>19125.990000000002</v>
      </c>
      <c r="Y177" s="2">
        <v>81480.89</v>
      </c>
      <c r="Z177" s="2">
        <v>12312.72</v>
      </c>
      <c r="AA177" s="2">
        <v>19967.38</v>
      </c>
      <c r="AB177" s="2">
        <v>2188.0100000000002</v>
      </c>
      <c r="AC177" s="2">
        <v>34468.11</v>
      </c>
      <c r="AD177" s="2">
        <v>0</v>
      </c>
    </row>
    <row r="178" spans="1:30" x14ac:dyDescent="0.35">
      <c r="A178" t="s">
        <v>82</v>
      </c>
      <c r="B178" t="s">
        <v>305</v>
      </c>
      <c r="C178" t="s">
        <v>132</v>
      </c>
      <c r="D178" s="23" t="s">
        <v>2448</v>
      </c>
      <c r="E178" s="1">
        <v>45597</v>
      </c>
      <c r="F178" s="3">
        <v>2024</v>
      </c>
      <c r="G178" s="1">
        <v>45750</v>
      </c>
      <c r="H178" t="s">
        <v>138</v>
      </c>
      <c r="I178" t="s">
        <v>139</v>
      </c>
      <c r="J178" t="s">
        <v>306</v>
      </c>
      <c r="K178" t="s">
        <v>35</v>
      </c>
      <c r="L178" s="1">
        <v>42527</v>
      </c>
      <c r="M178" t="s">
        <v>35</v>
      </c>
      <c r="N178" t="s">
        <v>158</v>
      </c>
      <c r="O178">
        <v>0</v>
      </c>
      <c r="P178" t="s">
        <v>36</v>
      </c>
      <c r="Q178" t="s">
        <v>93</v>
      </c>
      <c r="R178" s="2">
        <v>1000</v>
      </c>
      <c r="S178" s="2">
        <v>1000</v>
      </c>
      <c r="T178" s="2">
        <v>7500</v>
      </c>
      <c r="U178" s="2">
        <v>9500</v>
      </c>
      <c r="V178" s="2">
        <v>0</v>
      </c>
      <c r="W178" s="2">
        <v>0</v>
      </c>
      <c r="X178" s="2">
        <v>988.09</v>
      </c>
      <c r="Y178" s="2">
        <v>988.09</v>
      </c>
      <c r="Z178" s="2">
        <v>1000</v>
      </c>
      <c r="AA178" s="2">
        <v>1000</v>
      </c>
      <c r="AB178" s="2">
        <v>6511.91</v>
      </c>
      <c r="AC178" s="2">
        <v>8511.91</v>
      </c>
      <c r="AD178" s="2">
        <v>0</v>
      </c>
    </row>
    <row r="179" spans="1:30" x14ac:dyDescent="0.35">
      <c r="A179" t="s">
        <v>29</v>
      </c>
      <c r="B179" t="s">
        <v>283</v>
      </c>
      <c r="C179" t="s">
        <v>31</v>
      </c>
      <c r="D179" s="23" t="s">
        <v>2448</v>
      </c>
      <c r="E179" s="1">
        <v>45603</v>
      </c>
      <c r="F179" s="3">
        <v>2024</v>
      </c>
      <c r="G179" s="1">
        <v>45618</v>
      </c>
      <c r="H179" t="s">
        <v>138</v>
      </c>
      <c r="I179" t="s">
        <v>139</v>
      </c>
      <c r="J179" t="s">
        <v>284</v>
      </c>
      <c r="K179" t="s">
        <v>35</v>
      </c>
      <c r="L179" s="1">
        <v>45415</v>
      </c>
      <c r="M179" t="s">
        <v>35</v>
      </c>
      <c r="O179">
        <v>0</v>
      </c>
      <c r="P179" t="s">
        <v>36</v>
      </c>
      <c r="Q179" t="s">
        <v>113</v>
      </c>
      <c r="R179" s="2">
        <v>0</v>
      </c>
      <c r="S179" s="2">
        <v>0</v>
      </c>
      <c r="T179" s="2">
        <v>0</v>
      </c>
      <c r="U179" s="2">
        <v>0</v>
      </c>
      <c r="V179" s="2">
        <v>0</v>
      </c>
      <c r="W179" s="2">
        <v>0</v>
      </c>
      <c r="X179" s="2">
        <v>0</v>
      </c>
      <c r="Y179" s="2">
        <v>0</v>
      </c>
      <c r="Z179" s="2">
        <v>0</v>
      </c>
      <c r="AA179" s="2">
        <v>0</v>
      </c>
      <c r="AB179" s="2">
        <v>0</v>
      </c>
      <c r="AC179" s="2">
        <v>0</v>
      </c>
      <c r="AD179" s="2">
        <v>0</v>
      </c>
    </row>
    <row r="180" spans="1:30" x14ac:dyDescent="0.35">
      <c r="A180" t="s">
        <v>90</v>
      </c>
      <c r="B180" t="s">
        <v>111</v>
      </c>
      <c r="C180" t="s">
        <v>31</v>
      </c>
      <c r="D180" s="23" t="s">
        <v>2448</v>
      </c>
      <c r="E180" s="1">
        <v>45610</v>
      </c>
      <c r="F180" s="3">
        <v>2024</v>
      </c>
      <c r="G180" s="1">
        <v>45611</v>
      </c>
      <c r="H180" t="s">
        <v>61</v>
      </c>
      <c r="I180" t="s">
        <v>62</v>
      </c>
      <c r="J180" t="s">
        <v>112</v>
      </c>
      <c r="K180" s="1">
        <v>45622</v>
      </c>
      <c r="L180" s="1">
        <v>42278</v>
      </c>
      <c r="M180" t="s">
        <v>35</v>
      </c>
      <c r="O180">
        <v>0</v>
      </c>
      <c r="P180" t="s">
        <v>64</v>
      </c>
      <c r="Q180" t="s">
        <v>113</v>
      </c>
      <c r="R180" s="2">
        <v>0</v>
      </c>
      <c r="S180" s="2">
        <v>0</v>
      </c>
      <c r="T180" s="2">
        <v>0</v>
      </c>
      <c r="U180" s="2">
        <v>0</v>
      </c>
      <c r="V180" s="2">
        <v>0</v>
      </c>
      <c r="W180" s="2">
        <v>0</v>
      </c>
      <c r="X180" s="2">
        <v>0</v>
      </c>
      <c r="Y180" s="2">
        <v>0</v>
      </c>
      <c r="Z180" s="2">
        <v>0</v>
      </c>
      <c r="AA180" s="2">
        <v>0</v>
      </c>
      <c r="AB180" s="2">
        <v>0</v>
      </c>
      <c r="AC180" s="2">
        <v>0</v>
      </c>
      <c r="AD180" s="2">
        <v>0</v>
      </c>
    </row>
    <row r="181" spans="1:30" x14ac:dyDescent="0.35">
      <c r="A181" t="s">
        <v>90</v>
      </c>
      <c r="B181" t="s">
        <v>285</v>
      </c>
      <c r="C181" t="s">
        <v>31</v>
      </c>
      <c r="D181" s="23" t="s">
        <v>2448</v>
      </c>
      <c r="E181" s="1">
        <v>45610</v>
      </c>
      <c r="F181" s="3">
        <v>2024</v>
      </c>
      <c r="G181" s="1">
        <v>45618</v>
      </c>
      <c r="H181" t="s">
        <v>138</v>
      </c>
      <c r="I181" t="s">
        <v>139</v>
      </c>
      <c r="J181" t="s">
        <v>213</v>
      </c>
      <c r="K181" t="s">
        <v>35</v>
      </c>
      <c r="L181" s="1">
        <v>45415</v>
      </c>
      <c r="M181" t="s">
        <v>35</v>
      </c>
      <c r="O181">
        <v>0</v>
      </c>
      <c r="P181" t="s">
        <v>36</v>
      </c>
      <c r="Q181" t="s">
        <v>108</v>
      </c>
      <c r="R181" s="2">
        <v>0</v>
      </c>
      <c r="S181" s="2">
        <v>0</v>
      </c>
      <c r="T181" s="2">
        <v>0</v>
      </c>
      <c r="U181" s="2">
        <v>0</v>
      </c>
      <c r="V181" s="2">
        <v>0</v>
      </c>
      <c r="W181" s="2">
        <v>0</v>
      </c>
      <c r="X181" s="2">
        <v>0</v>
      </c>
      <c r="Y181" s="2">
        <v>0</v>
      </c>
      <c r="Z181" s="2">
        <v>0</v>
      </c>
      <c r="AA181" s="2">
        <v>0</v>
      </c>
      <c r="AB181" s="2">
        <v>0</v>
      </c>
      <c r="AC181" s="2">
        <v>0</v>
      </c>
      <c r="AD181" s="2">
        <v>0</v>
      </c>
    </row>
    <row r="182" spans="1:30" x14ac:dyDescent="0.35">
      <c r="A182" t="s">
        <v>38</v>
      </c>
      <c r="B182" t="s">
        <v>302</v>
      </c>
      <c r="C182" t="s">
        <v>132</v>
      </c>
      <c r="D182" s="23" t="s">
        <v>2448</v>
      </c>
      <c r="E182" s="1">
        <v>45621</v>
      </c>
      <c r="F182" s="3">
        <v>2024</v>
      </c>
      <c r="G182" s="1">
        <v>45621</v>
      </c>
      <c r="H182" t="s">
        <v>208</v>
      </c>
      <c r="I182" t="s">
        <v>69</v>
      </c>
      <c r="J182" t="s">
        <v>40</v>
      </c>
      <c r="K182" t="s">
        <v>35</v>
      </c>
      <c r="L182" s="1">
        <v>44886</v>
      </c>
      <c r="M182" t="s">
        <v>35</v>
      </c>
      <c r="O182">
        <v>0</v>
      </c>
      <c r="P182" t="s">
        <v>36</v>
      </c>
      <c r="Q182" t="s">
        <v>93</v>
      </c>
      <c r="R182" s="2">
        <v>4889</v>
      </c>
      <c r="S182" s="2">
        <v>0</v>
      </c>
      <c r="T182" s="2">
        <v>1381</v>
      </c>
      <c r="U182" s="2">
        <v>6270</v>
      </c>
      <c r="V182" s="2">
        <v>2514.13</v>
      </c>
      <c r="W182" s="2">
        <v>0</v>
      </c>
      <c r="X182" s="2">
        <v>147.26</v>
      </c>
      <c r="Y182" s="2">
        <v>2661.39</v>
      </c>
      <c r="Z182" s="2">
        <v>2374.87</v>
      </c>
      <c r="AA182" s="2">
        <v>0</v>
      </c>
      <c r="AB182" s="2">
        <v>1233.74</v>
      </c>
      <c r="AC182" s="2">
        <v>3608.61</v>
      </c>
      <c r="AD182" s="2">
        <v>0</v>
      </c>
    </row>
    <row r="183" spans="1:30" x14ac:dyDescent="0.35">
      <c r="A183" t="s">
        <v>38</v>
      </c>
      <c r="B183" t="s">
        <v>320</v>
      </c>
      <c r="C183" t="s">
        <v>31</v>
      </c>
      <c r="D183" s="23" t="s">
        <v>2448</v>
      </c>
      <c r="E183" s="1">
        <v>45622</v>
      </c>
      <c r="F183" s="3">
        <v>2024</v>
      </c>
      <c r="G183" s="1">
        <v>45622</v>
      </c>
      <c r="H183" t="s">
        <v>144</v>
      </c>
      <c r="I183" t="s">
        <v>121</v>
      </c>
      <c r="J183" t="s">
        <v>34</v>
      </c>
      <c r="K183" s="1">
        <v>45632</v>
      </c>
      <c r="L183" s="1">
        <v>44798</v>
      </c>
      <c r="M183" t="s">
        <v>35</v>
      </c>
      <c r="O183">
        <v>0</v>
      </c>
      <c r="P183" t="s">
        <v>47</v>
      </c>
      <c r="Q183" t="s">
        <v>53</v>
      </c>
      <c r="R183" s="2">
        <v>960.96</v>
      </c>
      <c r="S183" s="2">
        <v>0</v>
      </c>
      <c r="T183" s="2">
        <v>30.01</v>
      </c>
      <c r="U183" s="2">
        <v>990.97</v>
      </c>
      <c r="V183" s="2">
        <v>960.96</v>
      </c>
      <c r="W183" s="2">
        <v>0</v>
      </c>
      <c r="X183" s="2">
        <v>30.01</v>
      </c>
      <c r="Y183" s="2">
        <v>990.97</v>
      </c>
      <c r="Z183" s="2">
        <v>0</v>
      </c>
      <c r="AA183" s="2">
        <v>0</v>
      </c>
      <c r="AB183" s="2">
        <v>0</v>
      </c>
      <c r="AC183" s="2">
        <v>0</v>
      </c>
      <c r="AD183" s="2">
        <v>0</v>
      </c>
    </row>
    <row r="184" spans="1:30" x14ac:dyDescent="0.35">
      <c r="A184" t="s">
        <v>82</v>
      </c>
      <c r="B184" t="s">
        <v>127</v>
      </c>
      <c r="C184" t="s">
        <v>31</v>
      </c>
      <c r="D184" s="23" t="s">
        <v>2448</v>
      </c>
      <c r="E184" s="1">
        <v>45635</v>
      </c>
      <c r="F184" s="3">
        <v>2024</v>
      </c>
      <c r="G184" s="1">
        <v>45674</v>
      </c>
      <c r="H184" t="s">
        <v>61</v>
      </c>
      <c r="I184" t="s">
        <v>62</v>
      </c>
      <c r="J184" t="s">
        <v>128</v>
      </c>
      <c r="K184" s="1">
        <v>45825</v>
      </c>
      <c r="L184" s="1">
        <v>45415</v>
      </c>
      <c r="M184" t="s">
        <v>35</v>
      </c>
      <c r="O184">
        <v>99</v>
      </c>
      <c r="P184" t="s">
        <v>36</v>
      </c>
      <c r="Q184" t="s">
        <v>93</v>
      </c>
      <c r="R184" s="2">
        <v>16525.73</v>
      </c>
      <c r="S184" s="2">
        <v>9210.81</v>
      </c>
      <c r="T184" s="2">
        <v>4795.82</v>
      </c>
      <c r="U184" s="2">
        <v>30532.36</v>
      </c>
      <c r="V184" s="2">
        <v>16525.73</v>
      </c>
      <c r="W184" s="2">
        <v>9210.81</v>
      </c>
      <c r="X184" s="2">
        <v>4795.82</v>
      </c>
      <c r="Y184" s="2">
        <v>30532.36</v>
      </c>
      <c r="Z184" s="2">
        <v>0</v>
      </c>
      <c r="AA184" s="2">
        <v>0</v>
      </c>
      <c r="AB184" s="2">
        <v>0</v>
      </c>
      <c r="AC184" s="2">
        <v>0</v>
      </c>
      <c r="AD184" s="2">
        <v>0</v>
      </c>
    </row>
    <row r="185" spans="1:30" x14ac:dyDescent="0.35">
      <c r="A185" t="s">
        <v>188</v>
      </c>
      <c r="B185" t="s">
        <v>508</v>
      </c>
      <c r="C185" t="s">
        <v>31</v>
      </c>
      <c r="D185" s="23" t="s">
        <v>2448</v>
      </c>
      <c r="E185" s="1">
        <v>45635</v>
      </c>
      <c r="F185" s="3">
        <v>2024</v>
      </c>
      <c r="G185" s="1">
        <v>45635</v>
      </c>
      <c r="H185" t="s">
        <v>138</v>
      </c>
      <c r="I185" t="s">
        <v>161</v>
      </c>
      <c r="J185" t="s">
        <v>348</v>
      </c>
      <c r="K185" t="s">
        <v>35</v>
      </c>
      <c r="L185" s="1">
        <v>38859</v>
      </c>
      <c r="M185" t="s">
        <v>35</v>
      </c>
      <c r="O185">
        <v>0</v>
      </c>
      <c r="P185" t="s">
        <v>36</v>
      </c>
      <c r="Q185" t="s">
        <v>65</v>
      </c>
      <c r="R185" s="2">
        <v>2226.16</v>
      </c>
      <c r="S185" s="2">
        <v>0</v>
      </c>
      <c r="T185" s="2">
        <v>35.64</v>
      </c>
      <c r="U185" s="2">
        <v>2261.8000000000002</v>
      </c>
      <c r="V185" s="2">
        <v>2226.16</v>
      </c>
      <c r="W185" s="2">
        <v>0</v>
      </c>
      <c r="X185" s="2">
        <v>35.64</v>
      </c>
      <c r="Y185" s="2">
        <v>2261.8000000000002</v>
      </c>
      <c r="Z185" s="2">
        <v>0</v>
      </c>
      <c r="AA185" s="2">
        <v>0</v>
      </c>
      <c r="AB185" s="2">
        <v>0</v>
      </c>
      <c r="AC185" s="2">
        <v>0</v>
      </c>
      <c r="AD185" s="2">
        <v>0</v>
      </c>
    </row>
    <row r="186" spans="1:30" x14ac:dyDescent="0.35">
      <c r="A186" t="s">
        <v>88</v>
      </c>
      <c r="B186" t="s">
        <v>357</v>
      </c>
      <c r="C186" t="s">
        <v>31</v>
      </c>
      <c r="D186" s="23" t="s">
        <v>2448</v>
      </c>
      <c r="E186" s="1">
        <v>45636</v>
      </c>
      <c r="F186" s="3">
        <v>2024</v>
      </c>
      <c r="G186" s="1">
        <v>45642</v>
      </c>
      <c r="H186" t="s">
        <v>179</v>
      </c>
      <c r="I186" t="s">
        <v>51</v>
      </c>
      <c r="J186" t="s">
        <v>40</v>
      </c>
      <c r="K186" t="s">
        <v>35</v>
      </c>
      <c r="L186" s="1">
        <v>45528</v>
      </c>
      <c r="M186" t="s">
        <v>35</v>
      </c>
      <c r="O186">
        <v>0</v>
      </c>
      <c r="P186" t="s">
        <v>36</v>
      </c>
      <c r="Q186" t="s">
        <v>93</v>
      </c>
      <c r="R186" s="2">
        <v>1102.95</v>
      </c>
      <c r="S186" s="2">
        <v>0</v>
      </c>
      <c r="T186" s="2">
        <v>67.58</v>
      </c>
      <c r="U186" s="2">
        <v>1170.53</v>
      </c>
      <c r="V186" s="2">
        <v>1102.95</v>
      </c>
      <c r="W186" s="2">
        <v>0</v>
      </c>
      <c r="X186" s="2">
        <v>67.58</v>
      </c>
      <c r="Y186" s="2">
        <v>1170.53</v>
      </c>
      <c r="Z186" s="2">
        <v>0</v>
      </c>
      <c r="AA186" s="2">
        <v>0</v>
      </c>
      <c r="AB186" s="2">
        <v>0</v>
      </c>
      <c r="AC186" s="2">
        <v>0</v>
      </c>
      <c r="AD186" s="2">
        <v>0</v>
      </c>
    </row>
    <row r="187" spans="1:30" x14ac:dyDescent="0.35">
      <c r="A187" t="s">
        <v>88</v>
      </c>
      <c r="B187" t="s">
        <v>358</v>
      </c>
      <c r="C187" t="s">
        <v>31</v>
      </c>
      <c r="D187" s="23" t="s">
        <v>2448</v>
      </c>
      <c r="E187" s="1">
        <v>45636</v>
      </c>
      <c r="F187" s="3">
        <v>2024</v>
      </c>
      <c r="G187" s="1">
        <v>45639</v>
      </c>
      <c r="H187" t="s">
        <v>179</v>
      </c>
      <c r="I187" t="s">
        <v>51</v>
      </c>
      <c r="J187" t="s">
        <v>40</v>
      </c>
      <c r="K187" t="s">
        <v>35</v>
      </c>
      <c r="L187" s="1">
        <v>44879</v>
      </c>
      <c r="M187" t="s">
        <v>35</v>
      </c>
      <c r="O187">
        <v>0</v>
      </c>
      <c r="P187" t="s">
        <v>64</v>
      </c>
      <c r="Q187" t="s">
        <v>280</v>
      </c>
      <c r="R187" s="2">
        <v>859.65</v>
      </c>
      <c r="S187" s="2">
        <v>0</v>
      </c>
      <c r="T187" s="2">
        <v>51.51</v>
      </c>
      <c r="U187" s="2">
        <v>911.16</v>
      </c>
      <c r="V187" s="2">
        <v>859.65</v>
      </c>
      <c r="W187" s="2">
        <v>0</v>
      </c>
      <c r="X187" s="2">
        <v>51.51</v>
      </c>
      <c r="Y187" s="2">
        <v>911.16</v>
      </c>
      <c r="Z187" s="2">
        <v>0</v>
      </c>
      <c r="AA187" s="2">
        <v>0</v>
      </c>
      <c r="AB187" s="2">
        <v>0</v>
      </c>
      <c r="AC187" s="2">
        <v>0</v>
      </c>
      <c r="AD187" s="2">
        <v>0</v>
      </c>
    </row>
    <row r="188" spans="1:30" x14ac:dyDescent="0.35">
      <c r="A188" t="s">
        <v>88</v>
      </c>
      <c r="B188" t="s">
        <v>509</v>
      </c>
      <c r="C188" t="s">
        <v>31</v>
      </c>
      <c r="D188" s="23" t="s">
        <v>2448</v>
      </c>
      <c r="E188" s="1">
        <v>45636</v>
      </c>
      <c r="F188" s="3">
        <v>2024</v>
      </c>
      <c r="G188" s="1">
        <v>45639</v>
      </c>
      <c r="H188" t="s">
        <v>179</v>
      </c>
      <c r="I188" t="s">
        <v>51</v>
      </c>
      <c r="J188" t="s">
        <v>40</v>
      </c>
      <c r="K188" s="1">
        <v>45674</v>
      </c>
      <c r="L188" s="1">
        <v>43875</v>
      </c>
      <c r="M188" t="s">
        <v>35</v>
      </c>
      <c r="O188">
        <v>0</v>
      </c>
      <c r="P188" t="s">
        <v>36</v>
      </c>
      <c r="Q188" t="s">
        <v>280</v>
      </c>
      <c r="R188" s="2">
        <v>1400.98</v>
      </c>
      <c r="S188" s="2">
        <v>0</v>
      </c>
      <c r="T188" s="2">
        <v>49.07</v>
      </c>
      <c r="U188" s="2">
        <v>1450.05</v>
      </c>
      <c r="V188" s="2">
        <v>1400.98</v>
      </c>
      <c r="W188" s="2">
        <v>0</v>
      </c>
      <c r="X188" s="2">
        <v>49.07</v>
      </c>
      <c r="Y188" s="2">
        <v>1450.05</v>
      </c>
      <c r="Z188" s="2">
        <v>0</v>
      </c>
      <c r="AA188" s="2">
        <v>0</v>
      </c>
      <c r="AB188" s="2">
        <v>0</v>
      </c>
      <c r="AC188" s="2">
        <v>0</v>
      </c>
      <c r="AD188" s="2">
        <v>0</v>
      </c>
    </row>
    <row r="189" spans="1:30" x14ac:dyDescent="0.35">
      <c r="A189" t="s">
        <v>29</v>
      </c>
      <c r="B189" t="s">
        <v>321</v>
      </c>
      <c r="C189" t="s">
        <v>31</v>
      </c>
      <c r="D189" s="23" t="s">
        <v>2448</v>
      </c>
      <c r="E189" s="1">
        <v>45652</v>
      </c>
      <c r="F189" s="3">
        <v>2024</v>
      </c>
      <c r="G189" s="1">
        <v>45652</v>
      </c>
      <c r="H189" t="s">
        <v>168</v>
      </c>
      <c r="I189" t="s">
        <v>169</v>
      </c>
      <c r="J189" t="s">
        <v>57</v>
      </c>
      <c r="K189" t="s">
        <v>35</v>
      </c>
      <c r="L189" s="1">
        <v>45444</v>
      </c>
      <c r="M189" t="s">
        <v>35</v>
      </c>
      <c r="O189">
        <v>0</v>
      </c>
      <c r="P189" t="s">
        <v>36</v>
      </c>
      <c r="Q189" t="s">
        <v>93</v>
      </c>
      <c r="R189" s="2">
        <v>0</v>
      </c>
      <c r="S189" s="2">
        <v>0</v>
      </c>
      <c r="T189" s="2">
        <v>0</v>
      </c>
      <c r="U189" s="2">
        <v>0</v>
      </c>
      <c r="V189" s="2">
        <v>0</v>
      </c>
      <c r="W189" s="2">
        <v>0</v>
      </c>
      <c r="X189" s="2">
        <v>0</v>
      </c>
      <c r="Y189" s="2">
        <v>0</v>
      </c>
      <c r="Z189" s="2">
        <v>0</v>
      </c>
      <c r="AA189" s="2">
        <v>0</v>
      </c>
      <c r="AB189" s="2">
        <v>0</v>
      </c>
      <c r="AC189" s="2">
        <v>0</v>
      </c>
      <c r="AD189" s="2">
        <v>0</v>
      </c>
    </row>
    <row r="190" spans="1:30" x14ac:dyDescent="0.35">
      <c r="A190" t="s">
        <v>38</v>
      </c>
      <c r="B190" t="s">
        <v>354</v>
      </c>
      <c r="C190" t="s">
        <v>31</v>
      </c>
      <c r="D190" s="23" t="s">
        <v>2448</v>
      </c>
      <c r="E190" s="1">
        <v>45652</v>
      </c>
      <c r="F190" s="3">
        <v>2024</v>
      </c>
      <c r="G190" s="1">
        <v>45652</v>
      </c>
      <c r="H190" t="s">
        <v>144</v>
      </c>
      <c r="I190" t="s">
        <v>121</v>
      </c>
      <c r="J190" t="s">
        <v>292</v>
      </c>
      <c r="K190" s="1">
        <v>45663</v>
      </c>
      <c r="L190" s="1">
        <v>41061</v>
      </c>
      <c r="M190" t="s">
        <v>35</v>
      </c>
      <c r="O190">
        <v>0</v>
      </c>
      <c r="P190" t="s">
        <v>47</v>
      </c>
      <c r="Q190" t="s">
        <v>53</v>
      </c>
      <c r="R190" s="2">
        <v>0</v>
      </c>
      <c r="S190" s="2">
        <v>0</v>
      </c>
      <c r="T190" s="2">
        <v>0</v>
      </c>
      <c r="U190" s="2">
        <v>0</v>
      </c>
      <c r="V190" s="2">
        <v>0</v>
      </c>
      <c r="W190" s="2">
        <v>0</v>
      </c>
      <c r="X190" s="2">
        <v>0</v>
      </c>
      <c r="Y190" s="2">
        <v>0</v>
      </c>
      <c r="Z190" s="2">
        <v>0</v>
      </c>
      <c r="AA190" s="2">
        <v>0</v>
      </c>
      <c r="AB190" s="2">
        <v>0</v>
      </c>
      <c r="AC190" s="2">
        <v>0</v>
      </c>
      <c r="AD190" s="2">
        <v>0</v>
      </c>
    </row>
    <row r="191" spans="1:30" x14ac:dyDescent="0.35">
      <c r="A191" t="s">
        <v>99</v>
      </c>
      <c r="B191" t="s">
        <v>374</v>
      </c>
      <c r="C191" t="s">
        <v>31</v>
      </c>
      <c r="D191" s="23" t="s">
        <v>2448</v>
      </c>
      <c r="E191" s="1">
        <v>45657</v>
      </c>
      <c r="F191" s="3">
        <v>2024</v>
      </c>
      <c r="G191" s="1">
        <v>45660</v>
      </c>
      <c r="H191" t="s">
        <v>61</v>
      </c>
      <c r="I191" t="s">
        <v>62</v>
      </c>
      <c r="J191" t="s">
        <v>348</v>
      </c>
      <c r="K191" t="s">
        <v>35</v>
      </c>
      <c r="L191" s="1">
        <v>45418</v>
      </c>
      <c r="M191" t="s">
        <v>35</v>
      </c>
      <c r="O191">
        <v>0</v>
      </c>
      <c r="P191" t="s">
        <v>64</v>
      </c>
      <c r="Q191" t="s">
        <v>93</v>
      </c>
      <c r="R191" s="2">
        <v>0</v>
      </c>
      <c r="S191" s="2">
        <v>0</v>
      </c>
      <c r="T191" s="2">
        <v>0</v>
      </c>
      <c r="U191" s="2">
        <v>0</v>
      </c>
      <c r="V191" s="2">
        <v>0</v>
      </c>
      <c r="W191" s="2">
        <v>0</v>
      </c>
      <c r="X191" s="2">
        <v>0</v>
      </c>
      <c r="Y191" s="2">
        <v>0</v>
      </c>
      <c r="Z191" s="2">
        <v>0</v>
      </c>
      <c r="AA191" s="2">
        <v>0</v>
      </c>
      <c r="AB191" s="2">
        <v>0</v>
      </c>
      <c r="AC191" s="2">
        <v>0</v>
      </c>
      <c r="AD191" s="2">
        <v>0</v>
      </c>
    </row>
    <row r="192" spans="1:30" x14ac:dyDescent="0.35">
      <c r="A192" t="s">
        <v>88</v>
      </c>
      <c r="B192" t="s">
        <v>331</v>
      </c>
      <c r="C192" t="s">
        <v>132</v>
      </c>
      <c r="D192" s="23" t="s">
        <v>2448</v>
      </c>
      <c r="E192" s="1">
        <v>45664</v>
      </c>
      <c r="F192" s="3">
        <v>2024</v>
      </c>
      <c r="G192" s="1">
        <v>45664</v>
      </c>
      <c r="H192" t="s">
        <v>97</v>
      </c>
      <c r="I192" t="s">
        <v>98</v>
      </c>
      <c r="J192" t="s">
        <v>332</v>
      </c>
      <c r="K192" t="s">
        <v>35</v>
      </c>
      <c r="L192" s="1">
        <v>45481</v>
      </c>
      <c r="M192" s="1">
        <v>45713</v>
      </c>
      <c r="O192">
        <v>0</v>
      </c>
      <c r="P192" t="s">
        <v>75</v>
      </c>
      <c r="Q192" t="s">
        <v>333</v>
      </c>
      <c r="R192" s="2">
        <v>13662</v>
      </c>
      <c r="S192" s="2">
        <v>5000</v>
      </c>
      <c r="T192" s="2">
        <v>3148</v>
      </c>
      <c r="U192" s="2">
        <v>21810</v>
      </c>
      <c r="V192" s="2">
        <v>9699.33</v>
      </c>
      <c r="W192" s="2">
        <v>278.86</v>
      </c>
      <c r="X192" s="2">
        <v>1746.71</v>
      </c>
      <c r="Y192" s="2">
        <v>11724.9</v>
      </c>
      <c r="Z192" s="2">
        <v>3962.67</v>
      </c>
      <c r="AA192" s="2">
        <v>4721.1400000000003</v>
      </c>
      <c r="AB192" s="2">
        <v>1401.29</v>
      </c>
      <c r="AC192" s="2">
        <v>10085.1</v>
      </c>
      <c r="AD192" s="2">
        <v>0</v>
      </c>
    </row>
    <row r="193" spans="1:30" x14ac:dyDescent="0.35">
      <c r="A193" t="s">
        <v>38</v>
      </c>
      <c r="B193" t="s">
        <v>163</v>
      </c>
      <c r="C193" t="s">
        <v>31</v>
      </c>
      <c r="D193" s="23" t="s">
        <v>2448</v>
      </c>
      <c r="E193" s="1">
        <v>45682</v>
      </c>
      <c r="F193" s="3">
        <v>2024</v>
      </c>
      <c r="G193" s="1">
        <v>45684</v>
      </c>
      <c r="H193" t="s">
        <v>164</v>
      </c>
      <c r="I193" t="s">
        <v>51</v>
      </c>
      <c r="J193" t="s">
        <v>165</v>
      </c>
      <c r="K193" s="1">
        <v>45775</v>
      </c>
      <c r="L193" s="1">
        <v>44562</v>
      </c>
      <c r="M193" t="s">
        <v>35</v>
      </c>
      <c r="O193">
        <v>0</v>
      </c>
      <c r="P193" t="s">
        <v>64</v>
      </c>
      <c r="Q193" t="s">
        <v>53</v>
      </c>
      <c r="R193" s="2">
        <v>592.30999999999995</v>
      </c>
      <c r="S193" s="2">
        <v>0</v>
      </c>
      <c r="T193" s="2">
        <v>37.08</v>
      </c>
      <c r="U193" s="2">
        <v>629.39</v>
      </c>
      <c r="V193" s="2">
        <v>592.30999999999995</v>
      </c>
      <c r="W193" s="2">
        <v>0</v>
      </c>
      <c r="X193" s="2">
        <v>37.08</v>
      </c>
      <c r="Y193" s="2">
        <v>629.39</v>
      </c>
      <c r="Z193" s="2">
        <v>0</v>
      </c>
      <c r="AA193" s="2">
        <v>0</v>
      </c>
      <c r="AB193" s="2">
        <v>0</v>
      </c>
      <c r="AC193" s="2">
        <v>0</v>
      </c>
      <c r="AD193" s="2">
        <v>0</v>
      </c>
    </row>
    <row r="194" spans="1:30" x14ac:dyDescent="0.35">
      <c r="A194" t="s">
        <v>90</v>
      </c>
      <c r="B194" t="s">
        <v>192</v>
      </c>
      <c r="C194" t="s">
        <v>31</v>
      </c>
      <c r="D194" s="23" t="s">
        <v>2448</v>
      </c>
      <c r="E194" s="1">
        <v>45687</v>
      </c>
      <c r="F194" s="3">
        <v>2024</v>
      </c>
      <c r="G194" s="1">
        <v>45692</v>
      </c>
      <c r="H194" t="s">
        <v>32</v>
      </c>
      <c r="I194" t="s">
        <v>33</v>
      </c>
      <c r="J194" t="s">
        <v>92</v>
      </c>
      <c r="K194" t="s">
        <v>35</v>
      </c>
      <c r="L194" s="1">
        <v>45687</v>
      </c>
      <c r="M194" t="s">
        <v>35</v>
      </c>
      <c r="O194">
        <v>0</v>
      </c>
      <c r="P194" t="s">
        <v>64</v>
      </c>
      <c r="Q194" t="s">
        <v>151</v>
      </c>
      <c r="R194" s="2">
        <v>501.35</v>
      </c>
      <c r="S194" s="2">
        <v>0</v>
      </c>
      <c r="T194" s="2">
        <v>286.63</v>
      </c>
      <c r="U194" s="2">
        <v>787.98</v>
      </c>
      <c r="V194" s="2">
        <v>501.35</v>
      </c>
      <c r="W194" s="2">
        <v>0</v>
      </c>
      <c r="X194" s="2">
        <v>286.63</v>
      </c>
      <c r="Y194" s="2">
        <v>787.98</v>
      </c>
      <c r="Z194" s="2">
        <v>0</v>
      </c>
      <c r="AA194" s="2">
        <v>0</v>
      </c>
      <c r="AB194" s="2">
        <v>0</v>
      </c>
      <c r="AC194" s="2">
        <v>0</v>
      </c>
      <c r="AD194" s="2">
        <v>0</v>
      </c>
    </row>
    <row r="195" spans="1:30" x14ac:dyDescent="0.35">
      <c r="A195" t="s">
        <v>99</v>
      </c>
      <c r="B195" t="s">
        <v>209</v>
      </c>
      <c r="C195" t="s">
        <v>31</v>
      </c>
      <c r="D195" s="23" t="s">
        <v>2448</v>
      </c>
      <c r="E195" s="1">
        <v>45692</v>
      </c>
      <c r="F195" s="3">
        <v>2024</v>
      </c>
      <c r="G195" s="1">
        <v>45692</v>
      </c>
      <c r="H195" t="s">
        <v>84</v>
      </c>
      <c r="I195" t="s">
        <v>85</v>
      </c>
      <c r="J195" t="s">
        <v>40</v>
      </c>
      <c r="K195" s="1">
        <v>45713</v>
      </c>
      <c r="L195" s="1">
        <v>45413</v>
      </c>
      <c r="M195" t="s">
        <v>35</v>
      </c>
      <c r="O195">
        <v>7</v>
      </c>
      <c r="P195" t="s">
        <v>64</v>
      </c>
      <c r="Q195" t="s">
        <v>93</v>
      </c>
      <c r="R195" s="2">
        <v>2149.91</v>
      </c>
      <c r="S195" s="2">
        <v>954.87</v>
      </c>
      <c r="T195" s="2">
        <v>41.12</v>
      </c>
      <c r="U195" s="2">
        <v>3145.9</v>
      </c>
      <c r="V195" s="2">
        <v>2149.91</v>
      </c>
      <c r="W195" s="2">
        <v>954.87</v>
      </c>
      <c r="X195" s="2">
        <v>41.12</v>
      </c>
      <c r="Y195" s="2">
        <v>3145.9</v>
      </c>
      <c r="Z195" s="2">
        <v>0</v>
      </c>
      <c r="AA195" s="2">
        <v>0</v>
      </c>
      <c r="AB195" s="2">
        <v>0</v>
      </c>
      <c r="AC195" s="2">
        <v>0</v>
      </c>
      <c r="AD195" s="2">
        <v>0</v>
      </c>
    </row>
    <row r="196" spans="1:30" x14ac:dyDescent="0.35">
      <c r="A196" t="s">
        <v>38</v>
      </c>
      <c r="B196" t="s">
        <v>338</v>
      </c>
      <c r="C196" t="s">
        <v>31</v>
      </c>
      <c r="D196" s="23" t="s">
        <v>2448</v>
      </c>
      <c r="E196" s="1">
        <v>45698</v>
      </c>
      <c r="F196" s="3">
        <v>2024</v>
      </c>
      <c r="G196" s="1">
        <v>45709</v>
      </c>
      <c r="H196" t="s">
        <v>263</v>
      </c>
      <c r="I196" t="s">
        <v>51</v>
      </c>
      <c r="J196" t="s">
        <v>339</v>
      </c>
      <c r="K196" s="1">
        <v>45727</v>
      </c>
      <c r="L196" s="1">
        <v>45534</v>
      </c>
      <c r="M196" t="s">
        <v>35</v>
      </c>
      <c r="O196">
        <v>8</v>
      </c>
      <c r="P196" t="s">
        <v>47</v>
      </c>
      <c r="Q196" t="s">
        <v>81</v>
      </c>
      <c r="R196" s="2">
        <v>1010.65</v>
      </c>
      <c r="S196" s="2">
        <v>761.92</v>
      </c>
      <c r="T196" s="2">
        <v>51.24</v>
      </c>
      <c r="U196" s="2">
        <v>1823.81</v>
      </c>
      <c r="V196" s="2">
        <v>1010.65</v>
      </c>
      <c r="W196" s="2">
        <v>761.92</v>
      </c>
      <c r="X196" s="2">
        <v>51.24</v>
      </c>
      <c r="Y196" s="2">
        <v>1823.81</v>
      </c>
      <c r="Z196" s="2">
        <v>0</v>
      </c>
      <c r="AA196" s="2">
        <v>0</v>
      </c>
      <c r="AB196" s="2">
        <v>0</v>
      </c>
      <c r="AC196" s="2">
        <v>0</v>
      </c>
      <c r="AD196" s="2">
        <v>0</v>
      </c>
    </row>
    <row r="197" spans="1:30" x14ac:dyDescent="0.35">
      <c r="A197" t="s">
        <v>38</v>
      </c>
      <c r="B197" t="s">
        <v>361</v>
      </c>
      <c r="C197" t="s">
        <v>31</v>
      </c>
      <c r="D197" s="23" t="s">
        <v>2448</v>
      </c>
      <c r="E197" s="1">
        <v>45707</v>
      </c>
      <c r="F197" s="3">
        <v>2024</v>
      </c>
      <c r="G197" s="1">
        <v>45708</v>
      </c>
      <c r="H197" t="s">
        <v>144</v>
      </c>
      <c r="I197" t="s">
        <v>121</v>
      </c>
      <c r="J197" t="s">
        <v>339</v>
      </c>
      <c r="K197" t="s">
        <v>35</v>
      </c>
      <c r="L197" s="1">
        <v>44641</v>
      </c>
      <c r="M197" t="s">
        <v>35</v>
      </c>
      <c r="O197">
        <v>0</v>
      </c>
      <c r="P197" t="s">
        <v>47</v>
      </c>
      <c r="Q197" t="s">
        <v>65</v>
      </c>
      <c r="R197" s="2">
        <v>972.91</v>
      </c>
      <c r="S197" s="2">
        <v>0</v>
      </c>
      <c r="T197" s="2">
        <v>20.76</v>
      </c>
      <c r="U197" s="2">
        <v>993.67</v>
      </c>
      <c r="V197" s="2">
        <v>972.91</v>
      </c>
      <c r="W197" s="2">
        <v>0</v>
      </c>
      <c r="X197" s="2">
        <v>20.76</v>
      </c>
      <c r="Y197" s="2">
        <v>993.67</v>
      </c>
      <c r="Z197" s="2">
        <v>0</v>
      </c>
      <c r="AA197" s="2">
        <v>0</v>
      </c>
      <c r="AB197" s="2">
        <v>0</v>
      </c>
      <c r="AC197" s="2">
        <v>0</v>
      </c>
      <c r="AD197" s="2">
        <v>0</v>
      </c>
    </row>
    <row r="198" spans="1:30" x14ac:dyDescent="0.35">
      <c r="A198" t="s">
        <v>38</v>
      </c>
      <c r="B198" t="s">
        <v>463</v>
      </c>
      <c r="C198" t="s">
        <v>132</v>
      </c>
      <c r="D198" s="23" t="s">
        <v>2448</v>
      </c>
      <c r="E198" s="1">
        <v>45707</v>
      </c>
      <c r="F198" s="3">
        <v>2024</v>
      </c>
      <c r="G198" s="1">
        <v>45708</v>
      </c>
      <c r="H198" t="s">
        <v>68</v>
      </c>
      <c r="I198" t="s">
        <v>69</v>
      </c>
      <c r="J198" t="s">
        <v>287</v>
      </c>
      <c r="K198" t="s">
        <v>35</v>
      </c>
      <c r="L198" s="1">
        <v>45621</v>
      </c>
      <c r="M198" s="1">
        <v>45709</v>
      </c>
      <c r="O198">
        <v>194</v>
      </c>
      <c r="P198" t="s">
        <v>64</v>
      </c>
      <c r="Q198" t="s">
        <v>126</v>
      </c>
      <c r="R198" s="2">
        <v>160000</v>
      </c>
      <c r="S198" s="2">
        <v>44257</v>
      </c>
      <c r="T198" s="2">
        <v>63500</v>
      </c>
      <c r="U198" s="2">
        <v>267757</v>
      </c>
      <c r="V198" s="2">
        <v>34527.33</v>
      </c>
      <c r="W198" s="2">
        <v>14354.6</v>
      </c>
      <c r="X198" s="2">
        <v>19131.14</v>
      </c>
      <c r="Y198" s="2">
        <v>68013.070000000007</v>
      </c>
      <c r="Z198" s="2">
        <v>125472.67</v>
      </c>
      <c r="AA198" s="2">
        <v>29902.400000000001</v>
      </c>
      <c r="AB198" s="2">
        <v>44368.86</v>
      </c>
      <c r="AC198" s="2">
        <v>199743.93</v>
      </c>
      <c r="AD198" s="2">
        <v>0</v>
      </c>
    </row>
    <row r="199" spans="1:30" x14ac:dyDescent="0.35">
      <c r="A199" t="s">
        <v>90</v>
      </c>
      <c r="B199" t="s">
        <v>343</v>
      </c>
      <c r="C199" t="s">
        <v>31</v>
      </c>
      <c r="D199" s="23" t="s">
        <v>2448</v>
      </c>
      <c r="E199" s="1">
        <v>45708</v>
      </c>
      <c r="F199" s="3">
        <v>2024</v>
      </c>
      <c r="G199" s="1">
        <v>45712</v>
      </c>
      <c r="H199" t="s">
        <v>32</v>
      </c>
      <c r="I199" t="s">
        <v>33</v>
      </c>
      <c r="J199" t="s">
        <v>342</v>
      </c>
      <c r="K199" s="1">
        <v>45778</v>
      </c>
      <c r="L199" s="1">
        <v>45708</v>
      </c>
      <c r="M199" t="s">
        <v>35</v>
      </c>
      <c r="O199">
        <v>1</v>
      </c>
      <c r="P199" t="s">
        <v>344</v>
      </c>
      <c r="Q199" t="s">
        <v>87</v>
      </c>
      <c r="R199" s="2">
        <v>1671.37</v>
      </c>
      <c r="S199" s="2">
        <v>215.65</v>
      </c>
      <c r="T199" s="2">
        <v>868.12</v>
      </c>
      <c r="U199" s="2">
        <v>2755.14</v>
      </c>
      <c r="V199" s="2">
        <v>1671.37</v>
      </c>
      <c r="W199" s="2">
        <v>215.65</v>
      </c>
      <c r="X199" s="2">
        <v>868.12</v>
      </c>
      <c r="Y199" s="2">
        <v>2755.14</v>
      </c>
      <c r="Z199" s="2">
        <v>0</v>
      </c>
      <c r="AA199" s="2">
        <v>0</v>
      </c>
      <c r="AB199" s="2">
        <v>0</v>
      </c>
      <c r="AC199" s="2">
        <v>0</v>
      </c>
      <c r="AD199" s="2">
        <v>0</v>
      </c>
    </row>
    <row r="200" spans="1:30" x14ac:dyDescent="0.35">
      <c r="A200" t="s">
        <v>82</v>
      </c>
      <c r="B200" t="s">
        <v>396</v>
      </c>
      <c r="C200" t="s">
        <v>31</v>
      </c>
      <c r="D200" s="23" t="s">
        <v>2448</v>
      </c>
      <c r="E200" s="1">
        <v>45713</v>
      </c>
      <c r="F200" s="3">
        <v>2024</v>
      </c>
      <c r="G200" s="1">
        <v>45713</v>
      </c>
      <c r="H200" t="s">
        <v>144</v>
      </c>
      <c r="I200" t="s">
        <v>121</v>
      </c>
      <c r="J200" t="s">
        <v>128</v>
      </c>
      <c r="K200" t="s">
        <v>35</v>
      </c>
      <c r="L200" s="1">
        <v>42009</v>
      </c>
      <c r="M200" t="s">
        <v>35</v>
      </c>
      <c r="O200">
        <v>0</v>
      </c>
      <c r="P200" t="s">
        <v>36</v>
      </c>
      <c r="Q200" t="s">
        <v>145</v>
      </c>
      <c r="R200" s="2">
        <v>954.52</v>
      </c>
      <c r="S200" s="2">
        <v>0</v>
      </c>
      <c r="T200" s="2">
        <v>24.35</v>
      </c>
      <c r="U200" s="2">
        <v>978.87</v>
      </c>
      <c r="V200" s="2">
        <v>954.52</v>
      </c>
      <c r="W200" s="2">
        <v>0</v>
      </c>
      <c r="X200" s="2">
        <v>24.35</v>
      </c>
      <c r="Y200" s="2">
        <v>978.87</v>
      </c>
      <c r="Z200" s="2">
        <v>0</v>
      </c>
      <c r="AA200" s="2">
        <v>0</v>
      </c>
      <c r="AB200" s="2">
        <v>0</v>
      </c>
      <c r="AC200" s="2">
        <v>0</v>
      </c>
      <c r="AD200" s="2">
        <v>0</v>
      </c>
    </row>
    <row r="201" spans="1:30" x14ac:dyDescent="0.35">
      <c r="A201" t="s">
        <v>29</v>
      </c>
      <c r="B201" t="s">
        <v>326</v>
      </c>
      <c r="C201" t="s">
        <v>31</v>
      </c>
      <c r="D201" s="23" t="s">
        <v>2448</v>
      </c>
      <c r="E201" s="1">
        <v>45714</v>
      </c>
      <c r="F201" s="3">
        <v>2024</v>
      </c>
      <c r="G201" s="1">
        <v>45715</v>
      </c>
      <c r="H201" t="s">
        <v>168</v>
      </c>
      <c r="I201" t="s">
        <v>169</v>
      </c>
      <c r="J201" t="s">
        <v>34</v>
      </c>
      <c r="K201" s="1">
        <v>45806</v>
      </c>
      <c r="L201" s="1">
        <v>45323</v>
      </c>
      <c r="M201" t="s">
        <v>35</v>
      </c>
      <c r="O201">
        <v>0</v>
      </c>
      <c r="P201" t="s">
        <v>75</v>
      </c>
      <c r="Q201" t="s">
        <v>123</v>
      </c>
      <c r="R201" s="2">
        <v>3337.5</v>
      </c>
      <c r="S201" s="2">
        <v>0</v>
      </c>
      <c r="T201" s="2">
        <v>1618.23</v>
      </c>
      <c r="U201" s="2">
        <v>4955.7299999999996</v>
      </c>
      <c r="V201" s="2">
        <v>3337.5</v>
      </c>
      <c r="W201" s="2">
        <v>0</v>
      </c>
      <c r="X201" s="2">
        <v>1618.23</v>
      </c>
      <c r="Y201" s="2">
        <v>4955.7299999999996</v>
      </c>
      <c r="Z201" s="2">
        <v>0</v>
      </c>
      <c r="AA201" s="2">
        <v>0</v>
      </c>
      <c r="AB201" s="2">
        <v>0</v>
      </c>
      <c r="AC201" s="2">
        <v>0</v>
      </c>
      <c r="AD201" s="2">
        <v>0</v>
      </c>
    </row>
    <row r="202" spans="1:30" x14ac:dyDescent="0.35">
      <c r="A202" t="s">
        <v>29</v>
      </c>
      <c r="B202" t="s">
        <v>334</v>
      </c>
      <c r="C202" t="s">
        <v>31</v>
      </c>
      <c r="D202" s="23" t="s">
        <v>2448</v>
      </c>
      <c r="E202" s="1">
        <v>45715</v>
      </c>
      <c r="F202" s="3">
        <v>2024</v>
      </c>
      <c r="G202" s="1">
        <v>45722</v>
      </c>
      <c r="H202" t="s">
        <v>138</v>
      </c>
      <c r="I202" t="s">
        <v>139</v>
      </c>
      <c r="J202" t="s">
        <v>186</v>
      </c>
      <c r="K202" s="1">
        <v>45729</v>
      </c>
      <c r="L202" s="1">
        <v>45551</v>
      </c>
      <c r="M202" t="s">
        <v>35</v>
      </c>
      <c r="O202">
        <v>0</v>
      </c>
      <c r="P202" t="s">
        <v>36</v>
      </c>
      <c r="Q202" t="s">
        <v>126</v>
      </c>
      <c r="R202" s="2">
        <v>0</v>
      </c>
      <c r="S202" s="2">
        <v>0</v>
      </c>
      <c r="T202" s="2">
        <v>0</v>
      </c>
      <c r="U202" s="2">
        <v>0</v>
      </c>
      <c r="V202" s="2">
        <v>0</v>
      </c>
      <c r="W202" s="2">
        <v>0</v>
      </c>
      <c r="X202" s="2">
        <v>0</v>
      </c>
      <c r="Y202" s="2">
        <v>0</v>
      </c>
      <c r="Z202" s="2">
        <v>0</v>
      </c>
      <c r="AA202" s="2">
        <v>0</v>
      </c>
      <c r="AB202" s="2">
        <v>0</v>
      </c>
      <c r="AC202" s="2">
        <v>0</v>
      </c>
      <c r="AD202" s="2">
        <v>0</v>
      </c>
    </row>
    <row r="203" spans="1:30" x14ac:dyDescent="0.35">
      <c r="A203" t="s">
        <v>38</v>
      </c>
      <c r="B203" t="s">
        <v>142</v>
      </c>
      <c r="C203" t="s">
        <v>31</v>
      </c>
      <c r="D203" s="23" t="s">
        <v>2448</v>
      </c>
      <c r="E203" s="1">
        <v>45717</v>
      </c>
      <c r="F203" s="3">
        <v>2024</v>
      </c>
      <c r="G203" s="1">
        <v>45828</v>
      </c>
      <c r="H203" t="s">
        <v>138</v>
      </c>
      <c r="I203" t="s">
        <v>139</v>
      </c>
      <c r="J203" t="s">
        <v>125</v>
      </c>
      <c r="K203" t="s">
        <v>35</v>
      </c>
      <c r="L203" s="1">
        <v>44774</v>
      </c>
      <c r="M203" t="s">
        <v>35</v>
      </c>
      <c r="O203">
        <v>0</v>
      </c>
      <c r="P203" t="s">
        <v>47</v>
      </c>
      <c r="Q203" t="s">
        <v>53</v>
      </c>
      <c r="R203" s="2">
        <v>0</v>
      </c>
      <c r="S203" s="2">
        <v>0</v>
      </c>
      <c r="T203" s="2">
        <v>0</v>
      </c>
      <c r="U203" s="2">
        <v>0</v>
      </c>
      <c r="V203" s="2">
        <v>0</v>
      </c>
      <c r="W203" s="2">
        <v>0</v>
      </c>
      <c r="X203" s="2">
        <v>0</v>
      </c>
      <c r="Y203" s="2">
        <v>0</v>
      </c>
      <c r="Z203" s="2">
        <v>0</v>
      </c>
      <c r="AA203" s="2">
        <v>0</v>
      </c>
      <c r="AB203" s="2">
        <v>0</v>
      </c>
      <c r="AC203" s="2">
        <v>0</v>
      </c>
      <c r="AD203" s="2">
        <v>0</v>
      </c>
    </row>
    <row r="204" spans="1:30" x14ac:dyDescent="0.35">
      <c r="A204" t="s">
        <v>38</v>
      </c>
      <c r="B204" t="s">
        <v>402</v>
      </c>
      <c r="C204" t="s">
        <v>31</v>
      </c>
      <c r="D204" s="23" t="s">
        <v>2448</v>
      </c>
      <c r="E204" s="1">
        <v>45727</v>
      </c>
      <c r="F204" s="3">
        <v>2024</v>
      </c>
      <c r="G204" s="1">
        <v>45727</v>
      </c>
      <c r="H204" t="s">
        <v>168</v>
      </c>
      <c r="I204" t="s">
        <v>169</v>
      </c>
      <c r="J204" t="s">
        <v>253</v>
      </c>
      <c r="K204" s="1">
        <v>45784</v>
      </c>
      <c r="L204" s="1">
        <v>38467</v>
      </c>
      <c r="M204" t="s">
        <v>35</v>
      </c>
      <c r="O204">
        <v>0</v>
      </c>
      <c r="P204" t="s">
        <v>95</v>
      </c>
      <c r="Q204" t="s">
        <v>403</v>
      </c>
      <c r="R204" s="2">
        <v>2913.67</v>
      </c>
      <c r="S204" s="2">
        <v>0</v>
      </c>
      <c r="T204" s="2">
        <v>452.23</v>
      </c>
      <c r="U204" s="2">
        <v>3365.9</v>
      </c>
      <c r="V204" s="2">
        <v>2913.67</v>
      </c>
      <c r="W204" s="2">
        <v>0</v>
      </c>
      <c r="X204" s="2">
        <v>452.23</v>
      </c>
      <c r="Y204" s="2">
        <v>3365.9</v>
      </c>
      <c r="Z204" s="2">
        <v>0</v>
      </c>
      <c r="AA204" s="2">
        <v>0</v>
      </c>
      <c r="AB204" s="2">
        <v>0</v>
      </c>
      <c r="AC204" s="2">
        <v>0</v>
      </c>
      <c r="AD204" s="2">
        <v>0</v>
      </c>
    </row>
    <row r="205" spans="1:30" x14ac:dyDescent="0.35">
      <c r="A205" t="s">
        <v>82</v>
      </c>
      <c r="B205" t="s">
        <v>327</v>
      </c>
      <c r="C205" t="s">
        <v>132</v>
      </c>
      <c r="D205" s="23" t="s">
        <v>2448</v>
      </c>
      <c r="E205" s="1">
        <v>45730</v>
      </c>
      <c r="F205" s="3">
        <v>2024</v>
      </c>
      <c r="G205" s="1">
        <v>45747</v>
      </c>
      <c r="H205" t="s">
        <v>226</v>
      </c>
      <c r="I205" t="s">
        <v>51</v>
      </c>
      <c r="J205" t="s">
        <v>183</v>
      </c>
      <c r="K205" t="s">
        <v>35</v>
      </c>
      <c r="L205" s="1">
        <v>45536</v>
      </c>
      <c r="M205" t="s">
        <v>35</v>
      </c>
      <c r="N205" t="s">
        <v>158</v>
      </c>
      <c r="O205">
        <v>85</v>
      </c>
      <c r="P205" t="s">
        <v>75</v>
      </c>
      <c r="Q205" t="s">
        <v>87</v>
      </c>
      <c r="R205" s="2">
        <v>28604</v>
      </c>
      <c r="S205" s="2">
        <v>14262</v>
      </c>
      <c r="T205" s="2">
        <v>15238</v>
      </c>
      <c r="U205" s="2">
        <v>58104</v>
      </c>
      <c r="V205" s="2">
        <v>14924.57</v>
      </c>
      <c r="W205" s="2">
        <v>7483.28</v>
      </c>
      <c r="X205" s="2">
        <v>6652.04</v>
      </c>
      <c r="Y205" s="2">
        <v>29059.89</v>
      </c>
      <c r="Z205" s="2">
        <v>13679.43</v>
      </c>
      <c r="AA205" s="2">
        <v>6778.72</v>
      </c>
      <c r="AB205" s="2">
        <v>8585.9599999999991</v>
      </c>
      <c r="AC205" s="2">
        <v>29044.11</v>
      </c>
      <c r="AD205" s="2">
        <v>0</v>
      </c>
    </row>
    <row r="206" spans="1:30" x14ac:dyDescent="0.35">
      <c r="A206" t="s">
        <v>38</v>
      </c>
      <c r="B206" t="s">
        <v>313</v>
      </c>
      <c r="C206" t="s">
        <v>31</v>
      </c>
      <c r="D206" s="23" t="s">
        <v>2448</v>
      </c>
      <c r="E206" s="1">
        <v>45747</v>
      </c>
      <c r="F206" s="3">
        <v>2024</v>
      </c>
      <c r="G206" s="1">
        <v>45750</v>
      </c>
      <c r="H206" t="s">
        <v>44</v>
      </c>
      <c r="I206" t="s">
        <v>314</v>
      </c>
      <c r="J206" t="s">
        <v>186</v>
      </c>
      <c r="K206" s="1">
        <v>45776</v>
      </c>
      <c r="L206" s="1">
        <v>45747</v>
      </c>
      <c r="M206" t="s">
        <v>35</v>
      </c>
      <c r="O206">
        <v>0</v>
      </c>
      <c r="P206" t="s">
        <v>47</v>
      </c>
      <c r="Q206" t="s">
        <v>53</v>
      </c>
      <c r="R206" s="2">
        <v>1334.6</v>
      </c>
      <c r="S206" s="2">
        <v>0</v>
      </c>
      <c r="T206" s="2">
        <v>588.89</v>
      </c>
      <c r="U206" s="2">
        <v>1923.49</v>
      </c>
      <c r="V206" s="2">
        <v>1334.6</v>
      </c>
      <c r="W206" s="2">
        <v>0</v>
      </c>
      <c r="X206" s="2">
        <v>588.89</v>
      </c>
      <c r="Y206" s="2">
        <v>1923.49</v>
      </c>
      <c r="Z206" s="2">
        <v>0</v>
      </c>
      <c r="AA206" s="2">
        <v>0</v>
      </c>
      <c r="AB206" s="2">
        <v>0</v>
      </c>
      <c r="AC206" s="2">
        <v>0</v>
      </c>
      <c r="AD206" s="2">
        <v>0</v>
      </c>
    </row>
    <row r="207" spans="1:30" x14ac:dyDescent="0.35">
      <c r="A207" t="s">
        <v>29</v>
      </c>
      <c r="B207" t="s">
        <v>319</v>
      </c>
      <c r="C207" t="s">
        <v>31</v>
      </c>
      <c r="D207" s="23" t="s">
        <v>2448</v>
      </c>
      <c r="E207" s="1">
        <v>45749</v>
      </c>
      <c r="F207" s="3">
        <v>2024</v>
      </c>
      <c r="G207" s="1">
        <v>45750</v>
      </c>
      <c r="H207" t="s">
        <v>120</v>
      </c>
      <c r="I207" t="s">
        <v>121</v>
      </c>
      <c r="J207" t="s">
        <v>57</v>
      </c>
      <c r="K207" t="s">
        <v>35</v>
      </c>
      <c r="L207" s="1">
        <v>45505</v>
      </c>
      <c r="M207" t="s">
        <v>35</v>
      </c>
      <c r="O207">
        <v>0</v>
      </c>
      <c r="P207" t="s">
        <v>36</v>
      </c>
      <c r="Q207" t="s">
        <v>87</v>
      </c>
      <c r="R207" s="2">
        <v>2995.96</v>
      </c>
      <c r="S207" s="2">
        <v>0</v>
      </c>
      <c r="T207" s="2">
        <v>124.56</v>
      </c>
      <c r="U207" s="2">
        <v>3120.52</v>
      </c>
      <c r="V207" s="2">
        <v>2995.96</v>
      </c>
      <c r="W207" s="2">
        <v>0</v>
      </c>
      <c r="X207" s="2">
        <v>124.56</v>
      </c>
      <c r="Y207" s="2">
        <v>3120.52</v>
      </c>
      <c r="Z207" s="2">
        <v>0</v>
      </c>
      <c r="AA207" s="2">
        <v>0</v>
      </c>
      <c r="AB207" s="2">
        <v>0</v>
      </c>
      <c r="AC207" s="2">
        <v>0</v>
      </c>
      <c r="AD207" s="2">
        <v>0</v>
      </c>
    </row>
    <row r="208" spans="1:30" x14ac:dyDescent="0.35">
      <c r="A208" t="s">
        <v>38</v>
      </c>
      <c r="B208" t="s">
        <v>444</v>
      </c>
      <c r="C208" t="s">
        <v>31</v>
      </c>
      <c r="D208" s="23" t="s">
        <v>2448</v>
      </c>
      <c r="E208" s="1">
        <v>45751</v>
      </c>
      <c r="F208" s="3">
        <v>2024</v>
      </c>
      <c r="G208" s="1">
        <v>45751</v>
      </c>
      <c r="H208" t="s">
        <v>138</v>
      </c>
      <c r="I208" t="s">
        <v>161</v>
      </c>
      <c r="J208" t="s">
        <v>445</v>
      </c>
      <c r="K208" s="1">
        <v>45853</v>
      </c>
      <c r="L208" s="1">
        <v>40391</v>
      </c>
      <c r="M208" s="1">
        <v>45797</v>
      </c>
      <c r="O208">
        <v>0</v>
      </c>
      <c r="P208" t="s">
        <v>64</v>
      </c>
      <c r="Q208" t="s">
        <v>126</v>
      </c>
      <c r="R208" s="2">
        <v>2223.48</v>
      </c>
      <c r="S208" s="2">
        <v>0</v>
      </c>
      <c r="T208" s="2">
        <v>52.2</v>
      </c>
      <c r="U208" s="2">
        <v>2275.6799999999998</v>
      </c>
      <c r="V208" s="2">
        <v>2223.48</v>
      </c>
      <c r="W208" s="2">
        <v>0</v>
      </c>
      <c r="X208" s="2">
        <v>52.2</v>
      </c>
      <c r="Y208" s="2">
        <v>2275.6799999999998</v>
      </c>
      <c r="Z208" s="2">
        <v>0</v>
      </c>
      <c r="AA208" s="2">
        <v>0</v>
      </c>
      <c r="AB208" s="2">
        <v>0</v>
      </c>
      <c r="AC208" s="2">
        <v>0</v>
      </c>
      <c r="AD208" s="2">
        <v>0</v>
      </c>
    </row>
    <row r="209" spans="1:30" x14ac:dyDescent="0.35">
      <c r="A209" t="s">
        <v>38</v>
      </c>
      <c r="B209" t="s">
        <v>167</v>
      </c>
      <c r="C209" t="s">
        <v>31</v>
      </c>
      <c r="D209" s="23" t="s">
        <v>2448</v>
      </c>
      <c r="E209" s="1">
        <v>45754</v>
      </c>
      <c r="F209" s="3">
        <v>2024</v>
      </c>
      <c r="G209" s="1">
        <v>45756</v>
      </c>
      <c r="H209" t="s">
        <v>168</v>
      </c>
      <c r="I209" t="s">
        <v>169</v>
      </c>
      <c r="J209" t="s">
        <v>170</v>
      </c>
      <c r="K209" t="s">
        <v>35</v>
      </c>
      <c r="L209" s="1">
        <v>45754</v>
      </c>
      <c r="M209" t="s">
        <v>35</v>
      </c>
      <c r="O209">
        <v>0</v>
      </c>
      <c r="P209" t="s">
        <v>47</v>
      </c>
      <c r="Q209" t="s">
        <v>81</v>
      </c>
      <c r="R209" s="2">
        <v>0</v>
      </c>
      <c r="S209" s="2">
        <v>0</v>
      </c>
      <c r="T209" s="2">
        <v>0</v>
      </c>
      <c r="U209" s="2">
        <v>0</v>
      </c>
      <c r="V209" s="2">
        <v>0</v>
      </c>
      <c r="W209" s="2">
        <v>0</v>
      </c>
      <c r="X209" s="2">
        <v>0</v>
      </c>
      <c r="Y209" s="2">
        <v>0</v>
      </c>
      <c r="Z209" s="2">
        <v>0</v>
      </c>
      <c r="AA209" s="2">
        <v>0</v>
      </c>
      <c r="AB209" s="2">
        <v>0</v>
      </c>
      <c r="AC209" s="2">
        <v>0</v>
      </c>
      <c r="AD209" s="2">
        <v>0</v>
      </c>
    </row>
    <row r="210" spans="1:30" x14ac:dyDescent="0.35">
      <c r="A210" t="s">
        <v>38</v>
      </c>
      <c r="B210" t="s">
        <v>152</v>
      </c>
      <c r="C210" t="s">
        <v>31</v>
      </c>
      <c r="D210" s="23" t="s">
        <v>2448</v>
      </c>
      <c r="E210" s="1">
        <v>45755</v>
      </c>
      <c r="F210" s="3">
        <v>2024</v>
      </c>
      <c r="G210" s="1">
        <v>45755</v>
      </c>
      <c r="H210" t="s">
        <v>148</v>
      </c>
      <c r="I210" t="s">
        <v>69</v>
      </c>
      <c r="J210" t="s">
        <v>153</v>
      </c>
      <c r="K210" t="s">
        <v>35</v>
      </c>
      <c r="L210" s="1">
        <v>44284</v>
      </c>
      <c r="M210" t="s">
        <v>35</v>
      </c>
      <c r="O210">
        <v>0</v>
      </c>
      <c r="P210" t="s">
        <v>47</v>
      </c>
      <c r="Q210" t="s">
        <v>113</v>
      </c>
      <c r="R210" s="2">
        <v>915.43</v>
      </c>
      <c r="S210" s="2">
        <v>0</v>
      </c>
      <c r="T210" s="2">
        <v>73.760000000000005</v>
      </c>
      <c r="U210" s="2">
        <v>989.19</v>
      </c>
      <c r="V210" s="2">
        <v>915.43</v>
      </c>
      <c r="W210" s="2">
        <v>0</v>
      </c>
      <c r="X210" s="2">
        <v>73.760000000000005</v>
      </c>
      <c r="Y210" s="2">
        <v>989.19</v>
      </c>
      <c r="Z210" s="2">
        <v>0</v>
      </c>
      <c r="AA210" s="2">
        <v>0</v>
      </c>
      <c r="AB210" s="2">
        <v>0</v>
      </c>
      <c r="AC210" s="2">
        <v>0</v>
      </c>
      <c r="AD210" s="2">
        <v>0</v>
      </c>
    </row>
    <row r="211" spans="1:30" x14ac:dyDescent="0.35">
      <c r="A211" t="s">
        <v>38</v>
      </c>
      <c r="B211" t="s">
        <v>434</v>
      </c>
      <c r="C211" t="s">
        <v>31</v>
      </c>
      <c r="D211" s="23" t="s">
        <v>2448</v>
      </c>
      <c r="E211" s="1">
        <v>45763</v>
      </c>
      <c r="F211" s="3">
        <v>2024</v>
      </c>
      <c r="G211" s="1">
        <v>45764</v>
      </c>
      <c r="H211" t="s">
        <v>32</v>
      </c>
      <c r="I211" t="s">
        <v>33</v>
      </c>
      <c r="J211" t="s">
        <v>155</v>
      </c>
      <c r="K211" s="1">
        <v>45777</v>
      </c>
      <c r="L211" s="1">
        <v>45261</v>
      </c>
      <c r="M211" t="s">
        <v>35</v>
      </c>
      <c r="O211">
        <v>0</v>
      </c>
      <c r="P211" t="s">
        <v>156</v>
      </c>
      <c r="Q211" t="s">
        <v>126</v>
      </c>
      <c r="R211" s="2">
        <v>0</v>
      </c>
      <c r="S211" s="2">
        <v>0</v>
      </c>
      <c r="T211" s="2">
        <v>0</v>
      </c>
      <c r="U211" s="2">
        <v>0</v>
      </c>
      <c r="V211" s="2">
        <v>0</v>
      </c>
      <c r="W211" s="2">
        <v>0</v>
      </c>
      <c r="X211" s="2">
        <v>0</v>
      </c>
      <c r="Y211" s="2">
        <v>0</v>
      </c>
      <c r="Z211" s="2">
        <v>0</v>
      </c>
      <c r="AA211" s="2">
        <v>0</v>
      </c>
      <c r="AB211" s="2">
        <v>0</v>
      </c>
      <c r="AC211" s="2">
        <v>0</v>
      </c>
      <c r="AD211" s="2">
        <v>0</v>
      </c>
    </row>
    <row r="212" spans="1:30" x14ac:dyDescent="0.35">
      <c r="A212" t="s">
        <v>38</v>
      </c>
      <c r="B212" t="s">
        <v>131</v>
      </c>
      <c r="C212" t="s">
        <v>132</v>
      </c>
      <c r="D212" s="23" t="s">
        <v>2448</v>
      </c>
      <c r="E212" s="1">
        <v>45772</v>
      </c>
      <c r="F212" s="3">
        <v>2024</v>
      </c>
      <c r="G212" s="1">
        <v>45776</v>
      </c>
      <c r="H212" t="s">
        <v>32</v>
      </c>
      <c r="I212" t="s">
        <v>33</v>
      </c>
      <c r="J212" t="s">
        <v>40</v>
      </c>
      <c r="K212" t="s">
        <v>35</v>
      </c>
      <c r="L212" s="1">
        <v>43441</v>
      </c>
      <c r="M212" t="s">
        <v>35</v>
      </c>
      <c r="O212">
        <v>186</v>
      </c>
      <c r="P212" t="s">
        <v>36</v>
      </c>
      <c r="Q212" t="s">
        <v>76</v>
      </c>
      <c r="R212" s="2">
        <v>17448</v>
      </c>
      <c r="S212" s="2">
        <v>17983</v>
      </c>
      <c r="T212" s="2">
        <v>6731</v>
      </c>
      <c r="U212" s="2">
        <v>42162</v>
      </c>
      <c r="V212" s="2">
        <v>8437.7199999999993</v>
      </c>
      <c r="W212" s="2">
        <v>17982.48</v>
      </c>
      <c r="X212" s="2">
        <v>4636.54</v>
      </c>
      <c r="Y212" s="2">
        <v>31056.74</v>
      </c>
      <c r="Z212" s="2">
        <v>9010.2800000000007</v>
      </c>
      <c r="AA212" s="2">
        <v>0.52</v>
      </c>
      <c r="AB212" s="2">
        <v>2094.46</v>
      </c>
      <c r="AC212" s="2">
        <v>11105.26</v>
      </c>
      <c r="AD212" s="2">
        <v>0</v>
      </c>
    </row>
    <row r="213" spans="1:30" x14ac:dyDescent="0.35">
      <c r="A213" t="s">
        <v>82</v>
      </c>
      <c r="B213" t="s">
        <v>360</v>
      </c>
      <c r="C213" t="s">
        <v>31</v>
      </c>
      <c r="D213" s="23" t="s">
        <v>2448</v>
      </c>
      <c r="E213" s="1">
        <v>45772</v>
      </c>
      <c r="F213" s="3">
        <v>2024</v>
      </c>
      <c r="G213" s="1">
        <v>45786</v>
      </c>
      <c r="H213" t="s">
        <v>61</v>
      </c>
      <c r="I213" t="s">
        <v>62</v>
      </c>
      <c r="J213" t="s">
        <v>128</v>
      </c>
      <c r="K213" t="s">
        <v>35</v>
      </c>
      <c r="L213" s="1">
        <v>45772</v>
      </c>
      <c r="M213" t="s">
        <v>35</v>
      </c>
      <c r="O213">
        <v>0</v>
      </c>
      <c r="P213" t="s">
        <v>36</v>
      </c>
      <c r="Q213" t="s">
        <v>93</v>
      </c>
      <c r="R213" s="2">
        <v>0</v>
      </c>
      <c r="S213" s="2">
        <v>0</v>
      </c>
      <c r="T213" s="2">
        <v>0</v>
      </c>
      <c r="U213" s="2">
        <v>0</v>
      </c>
      <c r="V213" s="2">
        <v>0</v>
      </c>
      <c r="W213" s="2">
        <v>0</v>
      </c>
      <c r="X213" s="2">
        <v>0</v>
      </c>
      <c r="Y213" s="2">
        <v>0</v>
      </c>
      <c r="Z213" s="2">
        <v>0</v>
      </c>
      <c r="AA213" s="2">
        <v>0</v>
      </c>
      <c r="AB213" s="2">
        <v>0</v>
      </c>
      <c r="AC213" s="2">
        <v>0</v>
      </c>
      <c r="AD213" s="2">
        <v>0</v>
      </c>
    </row>
    <row r="214" spans="1:30" x14ac:dyDescent="0.35">
      <c r="A214" t="s">
        <v>82</v>
      </c>
      <c r="B214" t="s">
        <v>260</v>
      </c>
      <c r="C214" t="s">
        <v>31</v>
      </c>
      <c r="D214" s="23" t="s">
        <v>2448</v>
      </c>
      <c r="E214" s="1">
        <v>45776</v>
      </c>
      <c r="F214" s="3">
        <v>2024</v>
      </c>
      <c r="G214" s="1">
        <v>45777</v>
      </c>
      <c r="H214" t="s">
        <v>61</v>
      </c>
      <c r="I214" t="s">
        <v>62</v>
      </c>
      <c r="J214" t="s">
        <v>183</v>
      </c>
      <c r="K214" t="s">
        <v>35</v>
      </c>
      <c r="L214" s="1">
        <v>41653</v>
      </c>
      <c r="M214" t="s">
        <v>35</v>
      </c>
      <c r="O214">
        <v>0</v>
      </c>
      <c r="P214" t="s">
        <v>36</v>
      </c>
      <c r="Q214" t="s">
        <v>93</v>
      </c>
      <c r="R214" s="2">
        <v>0</v>
      </c>
      <c r="S214" s="2">
        <v>0</v>
      </c>
      <c r="T214" s="2">
        <v>0</v>
      </c>
      <c r="U214" s="2">
        <v>0</v>
      </c>
      <c r="V214" s="2">
        <v>0</v>
      </c>
      <c r="W214" s="2">
        <v>0</v>
      </c>
      <c r="X214" s="2">
        <v>0</v>
      </c>
      <c r="Y214" s="2">
        <v>0</v>
      </c>
      <c r="Z214" s="2">
        <v>0</v>
      </c>
      <c r="AA214" s="2">
        <v>0</v>
      </c>
      <c r="AB214" s="2">
        <v>0</v>
      </c>
      <c r="AC214" s="2">
        <v>0</v>
      </c>
      <c r="AD214" s="2">
        <v>0</v>
      </c>
    </row>
    <row r="215" spans="1:30" x14ac:dyDescent="0.35">
      <c r="A215" t="s">
        <v>38</v>
      </c>
      <c r="B215" t="s">
        <v>281</v>
      </c>
      <c r="C215" t="s">
        <v>31</v>
      </c>
      <c r="D215" s="23" t="s">
        <v>2448</v>
      </c>
      <c r="E215" s="1">
        <v>45777</v>
      </c>
      <c r="F215" s="3">
        <v>2024</v>
      </c>
      <c r="G215" s="1">
        <v>45778</v>
      </c>
      <c r="H215" t="s">
        <v>138</v>
      </c>
      <c r="I215" t="s">
        <v>282</v>
      </c>
      <c r="J215" t="s">
        <v>46</v>
      </c>
      <c r="K215" t="s">
        <v>35</v>
      </c>
      <c r="L215" s="1">
        <v>45117</v>
      </c>
      <c r="M215" t="s">
        <v>35</v>
      </c>
      <c r="O215">
        <v>0</v>
      </c>
      <c r="P215" t="s">
        <v>47</v>
      </c>
      <c r="Q215" t="s">
        <v>113</v>
      </c>
      <c r="R215" s="2">
        <v>0</v>
      </c>
      <c r="S215" s="2">
        <v>0</v>
      </c>
      <c r="T215" s="2">
        <v>0</v>
      </c>
      <c r="U215" s="2">
        <v>0</v>
      </c>
      <c r="V215" s="2">
        <v>0</v>
      </c>
      <c r="W215" s="2">
        <v>0</v>
      </c>
      <c r="X215" s="2">
        <v>0</v>
      </c>
      <c r="Y215" s="2">
        <v>0</v>
      </c>
      <c r="Z215" s="2">
        <v>0</v>
      </c>
      <c r="AA215" s="2">
        <v>0</v>
      </c>
      <c r="AB215" s="2">
        <v>0</v>
      </c>
      <c r="AC215" s="2">
        <v>0</v>
      </c>
      <c r="AD215" s="2">
        <v>0</v>
      </c>
    </row>
    <row r="216" spans="1:30" x14ac:dyDescent="0.35">
      <c r="A216" t="s">
        <v>38</v>
      </c>
      <c r="B216" t="s">
        <v>43</v>
      </c>
      <c r="C216" t="s">
        <v>31</v>
      </c>
      <c r="D216" s="23" t="s">
        <v>2448</v>
      </c>
      <c r="E216" s="1">
        <v>45778</v>
      </c>
      <c r="F216" s="3">
        <v>2024</v>
      </c>
      <c r="G216" s="1">
        <v>45778</v>
      </c>
      <c r="H216" t="s">
        <v>44</v>
      </c>
      <c r="I216" t="s">
        <v>45</v>
      </c>
      <c r="J216" t="s">
        <v>46</v>
      </c>
      <c r="K216" t="s">
        <v>35</v>
      </c>
      <c r="L216" s="1">
        <v>43391</v>
      </c>
      <c r="M216" t="s">
        <v>35</v>
      </c>
      <c r="O216">
        <v>0</v>
      </c>
      <c r="P216" t="s">
        <v>47</v>
      </c>
      <c r="Q216" t="s">
        <v>48</v>
      </c>
      <c r="R216" s="2">
        <v>2130.3000000000002</v>
      </c>
      <c r="S216" s="2">
        <v>0</v>
      </c>
      <c r="T216" s="2">
        <v>547.6</v>
      </c>
      <c r="U216" s="2">
        <v>2677.9</v>
      </c>
      <c r="V216" s="2">
        <v>2130.3000000000002</v>
      </c>
      <c r="W216" s="2">
        <v>0</v>
      </c>
      <c r="X216" s="2">
        <v>547.6</v>
      </c>
      <c r="Y216" s="2">
        <v>2677.9</v>
      </c>
      <c r="Z216" s="2">
        <v>0</v>
      </c>
      <c r="AA216" s="2">
        <v>0</v>
      </c>
      <c r="AB216" s="2">
        <v>0</v>
      </c>
      <c r="AC216" s="2">
        <v>0</v>
      </c>
      <c r="AD216" s="2">
        <v>0</v>
      </c>
    </row>
    <row r="217" spans="1:30" x14ac:dyDescent="0.35">
      <c r="A217" t="s">
        <v>90</v>
      </c>
      <c r="B217" t="s">
        <v>110</v>
      </c>
      <c r="C217" t="s">
        <v>31</v>
      </c>
      <c r="D217" s="23" t="s">
        <v>2448</v>
      </c>
      <c r="E217" s="1">
        <v>45793</v>
      </c>
      <c r="F217" s="3">
        <v>2024</v>
      </c>
      <c r="G217" s="1">
        <v>45799</v>
      </c>
      <c r="H217" t="s">
        <v>44</v>
      </c>
      <c r="I217" t="s">
        <v>45</v>
      </c>
      <c r="J217" t="s">
        <v>101</v>
      </c>
      <c r="K217" s="1">
        <v>45805</v>
      </c>
      <c r="L217" s="1">
        <v>45793</v>
      </c>
      <c r="M217" t="s">
        <v>35</v>
      </c>
      <c r="O217">
        <v>0</v>
      </c>
      <c r="P217" t="s">
        <v>36</v>
      </c>
      <c r="Q217" t="s">
        <v>76</v>
      </c>
      <c r="R217" s="2">
        <v>957.6</v>
      </c>
      <c r="S217" s="2">
        <v>0</v>
      </c>
      <c r="T217" s="2">
        <v>19.64</v>
      </c>
      <c r="U217" s="2">
        <v>977.24</v>
      </c>
      <c r="V217" s="2">
        <v>957.6</v>
      </c>
      <c r="W217" s="2">
        <v>0</v>
      </c>
      <c r="X217" s="2">
        <v>19.64</v>
      </c>
      <c r="Y217" s="2">
        <v>977.24</v>
      </c>
      <c r="Z217" s="2">
        <v>0</v>
      </c>
      <c r="AA217" s="2">
        <v>0</v>
      </c>
      <c r="AB217" s="2">
        <v>0</v>
      </c>
      <c r="AC217" s="2">
        <v>0</v>
      </c>
      <c r="AD217" s="2">
        <v>0</v>
      </c>
    </row>
    <row r="218" spans="1:30" x14ac:dyDescent="0.35">
      <c r="A218" t="s">
        <v>38</v>
      </c>
      <c r="B218" t="s">
        <v>473</v>
      </c>
      <c r="C218" t="s">
        <v>31</v>
      </c>
      <c r="D218" s="23" t="s">
        <v>2448</v>
      </c>
      <c r="E218" s="1">
        <v>45793</v>
      </c>
      <c r="F218" s="3">
        <v>2024</v>
      </c>
      <c r="G218" s="1">
        <v>45793</v>
      </c>
      <c r="H218" t="s">
        <v>61</v>
      </c>
      <c r="I218" t="s">
        <v>62</v>
      </c>
      <c r="J218" t="s">
        <v>130</v>
      </c>
      <c r="K218" t="s">
        <v>35</v>
      </c>
      <c r="L218" s="1">
        <v>45793</v>
      </c>
      <c r="M218" t="s">
        <v>35</v>
      </c>
      <c r="O218">
        <v>0</v>
      </c>
      <c r="P218" t="s">
        <v>64</v>
      </c>
      <c r="Q218" t="s">
        <v>280</v>
      </c>
      <c r="R218" s="2">
        <v>790.29</v>
      </c>
      <c r="S218" s="2">
        <v>0</v>
      </c>
      <c r="T218" s="2">
        <v>210.07</v>
      </c>
      <c r="U218" s="2">
        <v>1000.36</v>
      </c>
      <c r="V218" s="2">
        <v>790.29</v>
      </c>
      <c r="W218" s="2">
        <v>0</v>
      </c>
      <c r="X218" s="2">
        <v>210.07</v>
      </c>
      <c r="Y218" s="2">
        <v>1000.36</v>
      </c>
      <c r="Z218" s="2">
        <v>0</v>
      </c>
      <c r="AA218" s="2">
        <v>0</v>
      </c>
      <c r="AB218" s="2">
        <v>0</v>
      </c>
      <c r="AC218" s="2">
        <v>0</v>
      </c>
      <c r="AD218" s="2">
        <v>0</v>
      </c>
    </row>
    <row r="219" spans="1:30" x14ac:dyDescent="0.35">
      <c r="A219" t="s">
        <v>82</v>
      </c>
      <c r="B219" t="s">
        <v>433</v>
      </c>
      <c r="C219" t="s">
        <v>132</v>
      </c>
      <c r="D219" s="23" t="s">
        <v>2448</v>
      </c>
      <c r="E219" s="1">
        <v>45804</v>
      </c>
      <c r="F219" s="3">
        <v>2024</v>
      </c>
      <c r="G219" s="1">
        <v>45805</v>
      </c>
      <c r="H219" t="s">
        <v>78</v>
      </c>
      <c r="I219" t="s">
        <v>79</v>
      </c>
      <c r="J219" t="s">
        <v>183</v>
      </c>
      <c r="K219" t="s">
        <v>35</v>
      </c>
      <c r="L219" s="1">
        <v>45047</v>
      </c>
      <c r="M219" s="1">
        <v>45868</v>
      </c>
      <c r="O219">
        <v>0</v>
      </c>
      <c r="P219" t="s">
        <v>36</v>
      </c>
      <c r="Q219" t="s">
        <v>93</v>
      </c>
      <c r="R219" s="2">
        <v>7101</v>
      </c>
      <c r="S219" s="2">
        <v>0</v>
      </c>
      <c r="T219" s="2">
        <v>3137</v>
      </c>
      <c r="U219" s="2">
        <v>10238</v>
      </c>
      <c r="V219" s="2">
        <v>3134.74</v>
      </c>
      <c r="W219" s="2">
        <v>0</v>
      </c>
      <c r="X219" s="2">
        <v>2034.97</v>
      </c>
      <c r="Y219" s="2">
        <v>5169.71</v>
      </c>
      <c r="Z219" s="2">
        <v>3966.26</v>
      </c>
      <c r="AA219" s="2">
        <v>0</v>
      </c>
      <c r="AB219" s="2">
        <v>1102.03</v>
      </c>
      <c r="AC219" s="2">
        <v>5068.29</v>
      </c>
      <c r="AD219" s="2">
        <v>0</v>
      </c>
    </row>
    <row r="220" spans="1:30" x14ac:dyDescent="0.35">
      <c r="A220" t="s">
        <v>29</v>
      </c>
      <c r="B220" t="s">
        <v>72</v>
      </c>
      <c r="C220" t="s">
        <v>31</v>
      </c>
      <c r="D220" s="23" t="s">
        <v>2448</v>
      </c>
      <c r="E220" s="1">
        <v>45805</v>
      </c>
      <c r="F220" s="3">
        <v>2024</v>
      </c>
      <c r="G220" s="1">
        <v>45805</v>
      </c>
      <c r="H220" t="s">
        <v>73</v>
      </c>
      <c r="I220" t="s">
        <v>51</v>
      </c>
      <c r="J220" t="s">
        <v>74</v>
      </c>
      <c r="K220" s="1">
        <v>45812</v>
      </c>
      <c r="L220" s="1">
        <v>43221</v>
      </c>
      <c r="M220" t="s">
        <v>35</v>
      </c>
      <c r="O220">
        <v>0</v>
      </c>
      <c r="P220" t="s">
        <v>75</v>
      </c>
      <c r="Q220" t="s">
        <v>76</v>
      </c>
      <c r="R220" s="2">
        <v>956.63</v>
      </c>
      <c r="S220" s="2">
        <v>0</v>
      </c>
      <c r="T220" s="2">
        <v>104.9</v>
      </c>
      <c r="U220" s="2">
        <v>1061.53</v>
      </c>
      <c r="V220" s="2">
        <v>956.63</v>
      </c>
      <c r="W220" s="2">
        <v>0</v>
      </c>
      <c r="X220" s="2">
        <v>104.9</v>
      </c>
      <c r="Y220" s="2">
        <v>1061.53</v>
      </c>
      <c r="Z220" s="2">
        <v>0</v>
      </c>
      <c r="AA220" s="2">
        <v>0</v>
      </c>
      <c r="AB220" s="2">
        <v>0</v>
      </c>
      <c r="AC220" s="2">
        <v>0</v>
      </c>
      <c r="AD220" s="2">
        <v>0</v>
      </c>
    </row>
    <row r="221" spans="1:30" x14ac:dyDescent="0.35">
      <c r="A221" t="s">
        <v>90</v>
      </c>
      <c r="B221" t="s">
        <v>449</v>
      </c>
      <c r="C221" t="s">
        <v>31</v>
      </c>
      <c r="D221" s="23" t="s">
        <v>2448</v>
      </c>
      <c r="E221" s="1">
        <v>45805</v>
      </c>
      <c r="F221" s="3">
        <v>2024</v>
      </c>
      <c r="G221" s="1">
        <v>45805</v>
      </c>
      <c r="H221" t="s">
        <v>176</v>
      </c>
      <c r="I221" t="s">
        <v>45</v>
      </c>
      <c r="J221" t="s">
        <v>101</v>
      </c>
      <c r="K221" s="1">
        <v>45817</v>
      </c>
      <c r="L221" s="1">
        <v>44473</v>
      </c>
      <c r="M221" t="s">
        <v>35</v>
      </c>
      <c r="O221">
        <v>0</v>
      </c>
      <c r="P221" t="s">
        <v>75</v>
      </c>
      <c r="Q221" t="s">
        <v>65</v>
      </c>
      <c r="R221" s="2">
        <v>598.63</v>
      </c>
      <c r="S221" s="2">
        <v>0</v>
      </c>
      <c r="T221" s="2">
        <v>23.8</v>
      </c>
      <c r="U221" s="2">
        <v>622.42999999999995</v>
      </c>
      <c r="V221" s="2">
        <v>598.63</v>
      </c>
      <c r="W221" s="2">
        <v>0</v>
      </c>
      <c r="X221" s="2">
        <v>23.8</v>
      </c>
      <c r="Y221" s="2">
        <v>622.42999999999995</v>
      </c>
      <c r="Z221" s="2">
        <v>0</v>
      </c>
      <c r="AA221" s="2">
        <v>0</v>
      </c>
      <c r="AB221" s="2">
        <v>0</v>
      </c>
      <c r="AC221" s="2">
        <v>0</v>
      </c>
      <c r="AD221" s="2">
        <v>0</v>
      </c>
    </row>
    <row r="222" spans="1:30" x14ac:dyDescent="0.35">
      <c r="A222" t="s">
        <v>82</v>
      </c>
      <c r="B222" t="s">
        <v>353</v>
      </c>
      <c r="C222" t="s">
        <v>31</v>
      </c>
      <c r="D222" s="23" t="s">
        <v>2448</v>
      </c>
      <c r="E222" s="1">
        <v>45806</v>
      </c>
      <c r="F222" s="3">
        <v>2024</v>
      </c>
      <c r="G222" s="1">
        <v>45813</v>
      </c>
      <c r="H222" t="s">
        <v>61</v>
      </c>
      <c r="I222" t="s">
        <v>62</v>
      </c>
      <c r="J222" t="s">
        <v>186</v>
      </c>
      <c r="K222" t="s">
        <v>35</v>
      </c>
      <c r="L222" s="1">
        <v>45806</v>
      </c>
      <c r="M222" t="s">
        <v>35</v>
      </c>
      <c r="O222">
        <v>0</v>
      </c>
      <c r="P222" t="s">
        <v>36</v>
      </c>
      <c r="Q222" t="s">
        <v>65</v>
      </c>
      <c r="R222" s="2">
        <v>0</v>
      </c>
      <c r="S222" s="2">
        <v>0</v>
      </c>
      <c r="T222" s="2">
        <v>0</v>
      </c>
      <c r="U222" s="2">
        <v>0</v>
      </c>
      <c r="V222" s="2">
        <v>0</v>
      </c>
      <c r="W222" s="2">
        <v>0</v>
      </c>
      <c r="X222" s="2">
        <v>0</v>
      </c>
      <c r="Y222" s="2">
        <v>0</v>
      </c>
      <c r="Z222" s="2">
        <v>0</v>
      </c>
      <c r="AA222" s="2">
        <v>0</v>
      </c>
      <c r="AB222" s="2">
        <v>0</v>
      </c>
      <c r="AC222" s="2">
        <v>0</v>
      </c>
      <c r="AD222" s="2">
        <v>0</v>
      </c>
    </row>
    <row r="223" spans="1:30" x14ac:dyDescent="0.35">
      <c r="A223" t="s">
        <v>38</v>
      </c>
      <c r="B223" t="s">
        <v>461</v>
      </c>
      <c r="C223" t="s">
        <v>132</v>
      </c>
      <c r="D223" s="23" t="s">
        <v>2448</v>
      </c>
      <c r="E223" s="1">
        <v>45810</v>
      </c>
      <c r="F223" s="3">
        <v>2024</v>
      </c>
      <c r="G223" s="1">
        <v>45810</v>
      </c>
      <c r="H223" t="s">
        <v>168</v>
      </c>
      <c r="I223" t="s">
        <v>169</v>
      </c>
      <c r="J223" t="s">
        <v>200</v>
      </c>
      <c r="K223" t="s">
        <v>35</v>
      </c>
      <c r="L223" s="1">
        <v>45810</v>
      </c>
      <c r="M223" t="s">
        <v>35</v>
      </c>
      <c r="O223">
        <v>161</v>
      </c>
      <c r="P223" t="s">
        <v>64</v>
      </c>
      <c r="Q223" t="s">
        <v>280</v>
      </c>
      <c r="R223" s="2">
        <v>8228</v>
      </c>
      <c r="S223" s="2">
        <v>19731</v>
      </c>
      <c r="T223" s="2">
        <v>5600</v>
      </c>
      <c r="U223" s="2">
        <v>33559</v>
      </c>
      <c r="V223" s="2">
        <v>1123.6600000000001</v>
      </c>
      <c r="W223" s="2">
        <v>15648.74</v>
      </c>
      <c r="X223" s="2">
        <v>529.41999999999996</v>
      </c>
      <c r="Y223" s="2">
        <v>17301.82</v>
      </c>
      <c r="Z223" s="2">
        <v>7104.34</v>
      </c>
      <c r="AA223" s="2">
        <v>4082.26</v>
      </c>
      <c r="AB223" s="2">
        <v>5070.58</v>
      </c>
      <c r="AC223" s="2">
        <v>16257.18</v>
      </c>
      <c r="AD223" s="2">
        <v>0</v>
      </c>
    </row>
    <row r="224" spans="1:30" x14ac:dyDescent="0.35">
      <c r="A224" t="s">
        <v>90</v>
      </c>
      <c r="B224" t="s">
        <v>166</v>
      </c>
      <c r="C224" t="s">
        <v>31</v>
      </c>
      <c r="D224" s="23" t="s">
        <v>2448</v>
      </c>
      <c r="E224" s="1">
        <v>45812</v>
      </c>
      <c r="F224" s="3">
        <v>2024</v>
      </c>
      <c r="G224" s="1">
        <v>45814</v>
      </c>
      <c r="H224" t="s">
        <v>61</v>
      </c>
      <c r="I224" t="s">
        <v>62</v>
      </c>
      <c r="J224" t="s">
        <v>92</v>
      </c>
      <c r="K224" s="1">
        <v>45818</v>
      </c>
      <c r="L224" s="1">
        <v>45812</v>
      </c>
      <c r="M224" t="s">
        <v>35</v>
      </c>
      <c r="O224">
        <v>0</v>
      </c>
      <c r="P224" t="s">
        <v>36</v>
      </c>
      <c r="Q224" t="s">
        <v>76</v>
      </c>
      <c r="R224" s="2">
        <v>0</v>
      </c>
      <c r="S224" s="2">
        <v>0</v>
      </c>
      <c r="T224" s="2">
        <v>0</v>
      </c>
      <c r="U224" s="2">
        <v>0</v>
      </c>
      <c r="V224" s="2">
        <v>0</v>
      </c>
      <c r="W224" s="2">
        <v>0</v>
      </c>
      <c r="X224" s="2">
        <v>0</v>
      </c>
      <c r="Y224" s="2">
        <v>0</v>
      </c>
      <c r="Z224" s="2">
        <v>0</v>
      </c>
      <c r="AA224" s="2">
        <v>0</v>
      </c>
      <c r="AB224" s="2">
        <v>0</v>
      </c>
      <c r="AC224" s="2">
        <v>0</v>
      </c>
      <c r="AD224" s="2">
        <v>0</v>
      </c>
    </row>
    <row r="225" spans="1:30" x14ac:dyDescent="0.35">
      <c r="A225" t="s">
        <v>29</v>
      </c>
      <c r="B225" t="s">
        <v>274</v>
      </c>
      <c r="C225" t="s">
        <v>31</v>
      </c>
      <c r="D225" s="23" t="s">
        <v>2448</v>
      </c>
      <c r="E225" s="1">
        <v>45824</v>
      </c>
      <c r="F225" s="3">
        <v>2024</v>
      </c>
      <c r="G225" s="1">
        <v>45826</v>
      </c>
      <c r="H225" t="s">
        <v>68</v>
      </c>
      <c r="I225" t="s">
        <v>69</v>
      </c>
      <c r="J225" t="s">
        <v>186</v>
      </c>
      <c r="K225" s="1">
        <v>45861</v>
      </c>
      <c r="L225" s="1">
        <v>45544</v>
      </c>
      <c r="M225" t="s">
        <v>35</v>
      </c>
      <c r="O225">
        <v>0</v>
      </c>
      <c r="P225" t="s">
        <v>275</v>
      </c>
      <c r="Q225" t="s">
        <v>113</v>
      </c>
      <c r="R225" s="2">
        <v>0</v>
      </c>
      <c r="S225" s="2">
        <v>0</v>
      </c>
      <c r="T225" s="2">
        <v>0</v>
      </c>
      <c r="U225" s="2">
        <v>0</v>
      </c>
      <c r="V225" s="2">
        <v>0</v>
      </c>
      <c r="W225" s="2">
        <v>0</v>
      </c>
      <c r="X225" s="2">
        <v>0</v>
      </c>
      <c r="Y225" s="2">
        <v>0</v>
      </c>
      <c r="Z225" s="2">
        <v>0</v>
      </c>
      <c r="AA225" s="2">
        <v>0</v>
      </c>
      <c r="AB225" s="2">
        <v>0</v>
      </c>
      <c r="AC225" s="2">
        <v>0</v>
      </c>
      <c r="AD225" s="2">
        <v>0</v>
      </c>
    </row>
    <row r="226" spans="1:30" x14ac:dyDescent="0.35">
      <c r="A226" t="s">
        <v>90</v>
      </c>
      <c r="B226" t="s">
        <v>459</v>
      </c>
      <c r="C226" t="s">
        <v>31</v>
      </c>
      <c r="D226" s="23" t="s">
        <v>2448</v>
      </c>
      <c r="E226" s="1">
        <v>45825</v>
      </c>
      <c r="F226" s="3">
        <v>2024</v>
      </c>
      <c r="G226" s="1">
        <v>45873</v>
      </c>
      <c r="H226" t="s">
        <v>32</v>
      </c>
      <c r="I226" t="s">
        <v>33</v>
      </c>
      <c r="J226" t="s">
        <v>460</v>
      </c>
      <c r="K226" t="s">
        <v>35</v>
      </c>
      <c r="L226" s="1">
        <v>45825</v>
      </c>
      <c r="M226" t="s">
        <v>35</v>
      </c>
      <c r="O226">
        <v>0</v>
      </c>
      <c r="P226" t="s">
        <v>36</v>
      </c>
      <c r="Q226" t="s">
        <v>65</v>
      </c>
      <c r="R226" s="2">
        <v>0</v>
      </c>
      <c r="S226" s="2">
        <v>0</v>
      </c>
      <c r="T226" s="2">
        <v>0</v>
      </c>
      <c r="U226" s="2">
        <v>0</v>
      </c>
      <c r="V226" s="2">
        <v>0</v>
      </c>
      <c r="W226" s="2">
        <v>0</v>
      </c>
      <c r="X226" s="2">
        <v>0</v>
      </c>
      <c r="Y226" s="2">
        <v>0</v>
      </c>
      <c r="Z226" s="2">
        <v>0</v>
      </c>
      <c r="AA226" s="2">
        <v>0</v>
      </c>
      <c r="AB226" s="2">
        <v>0</v>
      </c>
      <c r="AC226" s="2">
        <v>0</v>
      </c>
      <c r="AD226" s="2">
        <v>0</v>
      </c>
    </row>
    <row r="227" spans="1:30" x14ac:dyDescent="0.35">
      <c r="A227" t="s">
        <v>38</v>
      </c>
      <c r="B227" t="s">
        <v>391</v>
      </c>
      <c r="C227" t="s">
        <v>31</v>
      </c>
      <c r="D227" s="23" t="s">
        <v>2448</v>
      </c>
      <c r="E227" s="1">
        <v>45834</v>
      </c>
      <c r="F227" s="3">
        <v>2024</v>
      </c>
      <c r="G227" s="1">
        <v>45834</v>
      </c>
      <c r="H227" t="s">
        <v>120</v>
      </c>
      <c r="I227" t="s">
        <v>121</v>
      </c>
      <c r="J227" t="s">
        <v>46</v>
      </c>
      <c r="K227" s="1">
        <v>45838</v>
      </c>
      <c r="L227" s="1">
        <v>45261</v>
      </c>
      <c r="M227" t="s">
        <v>35</v>
      </c>
      <c r="O227">
        <v>0</v>
      </c>
      <c r="P227" t="s">
        <v>47</v>
      </c>
      <c r="Q227" t="s">
        <v>81</v>
      </c>
      <c r="R227" s="2">
        <v>809.58</v>
      </c>
      <c r="S227" s="2">
        <v>0</v>
      </c>
      <c r="T227" s="2">
        <v>18.18</v>
      </c>
      <c r="U227" s="2">
        <v>827.76</v>
      </c>
      <c r="V227" s="2">
        <v>809.58</v>
      </c>
      <c r="W227" s="2">
        <v>0</v>
      </c>
      <c r="X227" s="2">
        <v>18.18</v>
      </c>
      <c r="Y227" s="2">
        <v>827.76</v>
      </c>
      <c r="Z227" s="2">
        <v>0</v>
      </c>
      <c r="AA227" s="2">
        <v>0</v>
      </c>
      <c r="AB227" s="2">
        <v>0</v>
      </c>
      <c r="AC227" s="2">
        <v>0</v>
      </c>
      <c r="AD227" s="2">
        <v>0</v>
      </c>
    </row>
    <row r="228" spans="1:30" x14ac:dyDescent="0.35">
      <c r="A228" t="s">
        <v>99</v>
      </c>
      <c r="B228" t="s">
        <v>262</v>
      </c>
      <c r="C228" t="s">
        <v>132</v>
      </c>
      <c r="D228" s="23" t="s">
        <v>2448</v>
      </c>
      <c r="E228" s="1">
        <v>45838</v>
      </c>
      <c r="F228" s="3">
        <v>2024</v>
      </c>
      <c r="G228" s="1">
        <v>45952</v>
      </c>
      <c r="H228" t="s">
        <v>263</v>
      </c>
      <c r="I228" t="s">
        <v>51</v>
      </c>
      <c r="J228" t="s">
        <v>92</v>
      </c>
      <c r="K228" t="s">
        <v>35</v>
      </c>
      <c r="L228" s="1">
        <v>45838</v>
      </c>
      <c r="M228" t="s">
        <v>35</v>
      </c>
      <c r="O228">
        <v>0</v>
      </c>
      <c r="P228" t="s">
        <v>47</v>
      </c>
      <c r="Q228" t="s">
        <v>264</v>
      </c>
      <c r="R228" s="2">
        <v>3300</v>
      </c>
      <c r="S228" s="2">
        <v>0</v>
      </c>
      <c r="T228" s="2">
        <v>800</v>
      </c>
      <c r="U228" s="2">
        <v>4100</v>
      </c>
      <c r="V228" s="2">
        <v>0</v>
      </c>
      <c r="W228" s="2">
        <v>0</v>
      </c>
      <c r="X228" s="2">
        <v>0</v>
      </c>
      <c r="Y228" s="2">
        <v>0</v>
      </c>
      <c r="Z228" s="2">
        <v>3300</v>
      </c>
      <c r="AA228" s="2">
        <v>0</v>
      </c>
      <c r="AB228" s="2">
        <v>800</v>
      </c>
      <c r="AC228" s="2">
        <v>4100</v>
      </c>
      <c r="AD228" s="2">
        <v>0</v>
      </c>
    </row>
    <row r="229" spans="1:30" x14ac:dyDescent="0.35">
      <c r="A229" t="s">
        <v>265</v>
      </c>
      <c r="B229" t="s">
        <v>266</v>
      </c>
      <c r="C229" t="s">
        <v>132</v>
      </c>
      <c r="D229" s="23" t="s">
        <v>2448</v>
      </c>
      <c r="E229" s="1">
        <v>45838</v>
      </c>
      <c r="F229" s="3">
        <v>2024</v>
      </c>
      <c r="G229" s="1">
        <v>45966</v>
      </c>
      <c r="H229" t="s">
        <v>267</v>
      </c>
      <c r="I229" t="s">
        <v>33</v>
      </c>
      <c r="J229" t="s">
        <v>186</v>
      </c>
      <c r="K229" t="s">
        <v>35</v>
      </c>
      <c r="L229" s="1">
        <v>45838</v>
      </c>
      <c r="M229" t="s">
        <v>35</v>
      </c>
      <c r="O229">
        <v>0</v>
      </c>
      <c r="P229" t="s">
        <v>41</v>
      </c>
      <c r="Q229" t="s">
        <v>42</v>
      </c>
      <c r="R229" s="2">
        <v>0</v>
      </c>
      <c r="S229" s="2">
        <v>0</v>
      </c>
      <c r="T229" s="2">
        <v>0</v>
      </c>
      <c r="U229" s="2">
        <v>0</v>
      </c>
      <c r="V229" s="2">
        <v>0</v>
      </c>
      <c r="W229" s="2">
        <v>0</v>
      </c>
      <c r="X229" s="2">
        <v>0</v>
      </c>
      <c r="Y229" s="2">
        <v>0</v>
      </c>
      <c r="Z229" s="2">
        <v>0</v>
      </c>
      <c r="AA229" s="2">
        <v>0</v>
      </c>
      <c r="AB229" s="2">
        <v>0</v>
      </c>
      <c r="AC229" s="2">
        <v>0</v>
      </c>
      <c r="AD229" s="2">
        <v>0</v>
      </c>
    </row>
    <row r="230" spans="1:30" x14ac:dyDescent="0.35">
      <c r="A230" t="s">
        <v>452</v>
      </c>
      <c r="B230" t="s">
        <v>453</v>
      </c>
      <c r="C230" t="s">
        <v>31</v>
      </c>
      <c r="D230" s="23" t="s">
        <v>2448</v>
      </c>
      <c r="E230" s="1">
        <v>45839</v>
      </c>
      <c r="F230" s="3">
        <v>2025</v>
      </c>
      <c r="G230" s="1">
        <v>45840</v>
      </c>
      <c r="H230" t="s">
        <v>61</v>
      </c>
      <c r="I230" t="s">
        <v>62</v>
      </c>
      <c r="J230" t="s">
        <v>153</v>
      </c>
      <c r="K230" t="s">
        <v>35</v>
      </c>
      <c r="L230" s="1">
        <v>45839</v>
      </c>
      <c r="M230" t="s">
        <v>35</v>
      </c>
      <c r="O230">
        <v>0</v>
      </c>
      <c r="P230" t="s">
        <v>47</v>
      </c>
      <c r="Q230" t="s">
        <v>93</v>
      </c>
      <c r="R230" s="2">
        <v>0</v>
      </c>
      <c r="S230" s="2">
        <v>0</v>
      </c>
      <c r="T230" s="2">
        <v>0</v>
      </c>
      <c r="U230" s="2">
        <v>0</v>
      </c>
      <c r="V230" s="2">
        <v>0</v>
      </c>
      <c r="W230" s="2">
        <v>0</v>
      </c>
      <c r="X230" s="2">
        <v>0</v>
      </c>
      <c r="Y230" s="2">
        <v>0</v>
      </c>
      <c r="Z230" s="2">
        <v>0</v>
      </c>
      <c r="AA230" s="2">
        <v>0</v>
      </c>
      <c r="AB230" s="2">
        <v>0</v>
      </c>
      <c r="AC230" s="2">
        <v>0</v>
      </c>
      <c r="AD230" s="2">
        <v>0</v>
      </c>
    </row>
    <row r="231" spans="1:30" x14ac:dyDescent="0.35">
      <c r="A231" t="s">
        <v>38</v>
      </c>
      <c r="B231" t="s">
        <v>483</v>
      </c>
      <c r="C231" t="s">
        <v>31</v>
      </c>
      <c r="D231" s="23" t="s">
        <v>2448</v>
      </c>
      <c r="E231" s="1">
        <v>45839</v>
      </c>
      <c r="F231" s="3">
        <v>2025</v>
      </c>
      <c r="G231" s="1">
        <v>45840</v>
      </c>
      <c r="H231" t="s">
        <v>61</v>
      </c>
      <c r="I231" t="s">
        <v>62</v>
      </c>
      <c r="J231" t="s">
        <v>484</v>
      </c>
      <c r="K231" s="1">
        <v>45846</v>
      </c>
      <c r="L231" s="1">
        <v>42552</v>
      </c>
      <c r="M231" t="s">
        <v>35</v>
      </c>
      <c r="O231">
        <v>0</v>
      </c>
      <c r="P231" t="s">
        <v>47</v>
      </c>
      <c r="Q231" t="s">
        <v>485</v>
      </c>
      <c r="R231" s="2">
        <v>185.98</v>
      </c>
      <c r="S231" s="2">
        <v>0</v>
      </c>
      <c r="T231" s="2">
        <v>19.25</v>
      </c>
      <c r="U231" s="2">
        <v>205.23</v>
      </c>
      <c r="V231" s="2">
        <v>185.98</v>
      </c>
      <c r="W231" s="2">
        <v>0</v>
      </c>
      <c r="X231" s="2">
        <v>19.25</v>
      </c>
      <c r="Y231" s="2">
        <v>205.23</v>
      </c>
      <c r="Z231" s="2">
        <v>0</v>
      </c>
      <c r="AA231" s="2">
        <v>0</v>
      </c>
      <c r="AB231" s="2">
        <v>0</v>
      </c>
      <c r="AC231" s="2">
        <v>0</v>
      </c>
      <c r="AD231" s="2">
        <v>0</v>
      </c>
    </row>
    <row r="232" spans="1:30" x14ac:dyDescent="0.35">
      <c r="A232" t="s">
        <v>265</v>
      </c>
      <c r="B232" t="s">
        <v>486</v>
      </c>
      <c r="C232" t="s">
        <v>132</v>
      </c>
      <c r="D232" s="23" t="s">
        <v>2448</v>
      </c>
      <c r="E232" s="1">
        <v>45839</v>
      </c>
      <c r="F232" s="3">
        <v>2025</v>
      </c>
      <c r="G232" s="1">
        <v>45966</v>
      </c>
      <c r="H232" t="s">
        <v>267</v>
      </c>
      <c r="I232" t="s">
        <v>33</v>
      </c>
      <c r="J232" t="s">
        <v>186</v>
      </c>
      <c r="K232" t="s">
        <v>35</v>
      </c>
      <c r="L232" s="1">
        <v>45839</v>
      </c>
      <c r="M232" t="s">
        <v>35</v>
      </c>
      <c r="O232">
        <v>0</v>
      </c>
      <c r="P232" t="s">
        <v>41</v>
      </c>
      <c r="Q232" t="s">
        <v>42</v>
      </c>
      <c r="R232" s="2">
        <v>0</v>
      </c>
      <c r="S232" s="2">
        <v>0</v>
      </c>
      <c r="T232" s="2">
        <v>0</v>
      </c>
      <c r="U232" s="2">
        <v>0</v>
      </c>
      <c r="V232" s="2">
        <v>0</v>
      </c>
      <c r="W232" s="2">
        <v>0</v>
      </c>
      <c r="X232" s="2">
        <v>0</v>
      </c>
      <c r="Y232" s="2">
        <v>0</v>
      </c>
      <c r="Z232" s="2">
        <v>0</v>
      </c>
      <c r="AA232" s="2">
        <v>0</v>
      </c>
      <c r="AB232" s="2">
        <v>0</v>
      </c>
      <c r="AC232" s="2">
        <v>0</v>
      </c>
      <c r="AD232" s="2">
        <v>0</v>
      </c>
    </row>
    <row r="233" spans="1:30" x14ac:dyDescent="0.35">
      <c r="A233" t="s">
        <v>99</v>
      </c>
      <c r="B233" t="s">
        <v>232</v>
      </c>
      <c r="C233" t="s">
        <v>31</v>
      </c>
      <c r="D233" s="23" t="s">
        <v>2448</v>
      </c>
      <c r="E233" s="1">
        <v>45847</v>
      </c>
      <c r="F233" s="3">
        <v>2025</v>
      </c>
      <c r="G233" s="1">
        <v>45852</v>
      </c>
      <c r="H233" t="s">
        <v>148</v>
      </c>
      <c r="I233" t="s">
        <v>69</v>
      </c>
      <c r="J233" t="s">
        <v>74</v>
      </c>
      <c r="K233" s="1">
        <v>45873</v>
      </c>
      <c r="L233" s="1">
        <v>45425</v>
      </c>
      <c r="M233" t="s">
        <v>35</v>
      </c>
      <c r="O233">
        <v>0</v>
      </c>
      <c r="P233" t="s">
        <v>64</v>
      </c>
      <c r="Q233" t="s">
        <v>87</v>
      </c>
      <c r="R233" s="2">
        <v>0</v>
      </c>
      <c r="S233" s="2">
        <v>0</v>
      </c>
      <c r="T233" s="2">
        <v>0</v>
      </c>
      <c r="U233" s="2">
        <v>0</v>
      </c>
      <c r="V233" s="2">
        <v>0</v>
      </c>
      <c r="W233" s="2">
        <v>0</v>
      </c>
      <c r="X233" s="2">
        <v>0</v>
      </c>
      <c r="Y233" s="2">
        <v>0</v>
      </c>
      <c r="Z233" s="2">
        <v>0</v>
      </c>
      <c r="AA233" s="2">
        <v>0</v>
      </c>
      <c r="AB233" s="2">
        <v>0</v>
      </c>
      <c r="AC233" s="2">
        <v>0</v>
      </c>
      <c r="AD233" s="2">
        <v>0</v>
      </c>
    </row>
    <row r="234" spans="1:30" x14ac:dyDescent="0.35">
      <c r="A234" t="s">
        <v>88</v>
      </c>
      <c r="B234" t="s">
        <v>375</v>
      </c>
      <c r="C234" t="s">
        <v>31</v>
      </c>
      <c r="D234" s="23" t="s">
        <v>2448</v>
      </c>
      <c r="E234" s="1">
        <v>45848</v>
      </c>
      <c r="F234" s="3">
        <v>2025</v>
      </c>
      <c r="G234" s="1">
        <v>45853</v>
      </c>
      <c r="H234" t="s">
        <v>61</v>
      </c>
      <c r="I234" t="s">
        <v>62</v>
      </c>
      <c r="J234" t="s">
        <v>40</v>
      </c>
      <c r="K234" s="1">
        <v>45965</v>
      </c>
      <c r="L234" s="1">
        <v>45419</v>
      </c>
      <c r="M234" t="s">
        <v>35</v>
      </c>
      <c r="O234">
        <v>0</v>
      </c>
      <c r="P234" t="s">
        <v>36</v>
      </c>
      <c r="Q234" t="s">
        <v>238</v>
      </c>
      <c r="R234" s="2">
        <v>2769.72</v>
      </c>
      <c r="S234" s="2">
        <v>0</v>
      </c>
      <c r="T234" s="2">
        <v>639.16</v>
      </c>
      <c r="U234" s="2">
        <v>3408.88</v>
      </c>
      <c r="V234" s="2">
        <v>2769.72</v>
      </c>
      <c r="W234" s="2">
        <v>0</v>
      </c>
      <c r="X234" s="2">
        <v>639.16</v>
      </c>
      <c r="Y234" s="2">
        <v>3408.88</v>
      </c>
      <c r="Z234" s="2">
        <v>0</v>
      </c>
      <c r="AA234" s="2">
        <v>0</v>
      </c>
      <c r="AB234" s="2">
        <v>0</v>
      </c>
      <c r="AC234" s="2">
        <v>0</v>
      </c>
      <c r="AD234" s="2">
        <v>0</v>
      </c>
    </row>
    <row r="235" spans="1:30" x14ac:dyDescent="0.35">
      <c r="A235" t="s">
        <v>82</v>
      </c>
      <c r="B235" t="s">
        <v>501</v>
      </c>
      <c r="C235" t="s">
        <v>132</v>
      </c>
      <c r="D235" s="23" t="s">
        <v>2448</v>
      </c>
      <c r="E235" s="1">
        <v>45850</v>
      </c>
      <c r="F235" s="3">
        <v>2025</v>
      </c>
      <c r="G235" s="1">
        <v>45852</v>
      </c>
      <c r="H235" t="s">
        <v>502</v>
      </c>
      <c r="I235" t="s">
        <v>314</v>
      </c>
      <c r="J235" t="s">
        <v>438</v>
      </c>
      <c r="K235" t="s">
        <v>35</v>
      </c>
      <c r="L235" s="1">
        <v>39580</v>
      </c>
      <c r="M235" t="s">
        <v>35</v>
      </c>
      <c r="O235">
        <v>119</v>
      </c>
      <c r="P235" t="s">
        <v>344</v>
      </c>
      <c r="Q235" t="s">
        <v>145</v>
      </c>
      <c r="R235" s="2">
        <v>40193</v>
      </c>
      <c r="S235" s="2">
        <v>35474</v>
      </c>
      <c r="T235" s="2">
        <v>12058</v>
      </c>
      <c r="U235" s="2">
        <v>87725</v>
      </c>
      <c r="V235" s="2">
        <v>6088.13</v>
      </c>
      <c r="W235" s="2">
        <v>16985.55</v>
      </c>
      <c r="X235" s="2">
        <v>2476.3000000000002</v>
      </c>
      <c r="Y235" s="2">
        <v>25549.98</v>
      </c>
      <c r="Z235" s="2">
        <v>34104.870000000003</v>
      </c>
      <c r="AA235" s="2">
        <v>18488.45</v>
      </c>
      <c r="AB235" s="2">
        <v>9581.7000000000007</v>
      </c>
      <c r="AC235" s="2">
        <v>62175.02</v>
      </c>
      <c r="AD235" s="2">
        <v>0</v>
      </c>
    </row>
    <row r="236" spans="1:30" x14ac:dyDescent="0.35">
      <c r="A236" t="s">
        <v>38</v>
      </c>
      <c r="B236" t="s">
        <v>418</v>
      </c>
      <c r="C236" t="s">
        <v>31</v>
      </c>
      <c r="D236" s="23" t="s">
        <v>2448</v>
      </c>
      <c r="E236" s="1">
        <v>45856</v>
      </c>
      <c r="F236" s="3">
        <v>2025</v>
      </c>
      <c r="G236" s="1">
        <v>45856</v>
      </c>
      <c r="H236" t="s">
        <v>50</v>
      </c>
      <c r="I236" t="s">
        <v>51</v>
      </c>
      <c r="J236" t="s">
        <v>253</v>
      </c>
      <c r="K236" s="1">
        <v>45866</v>
      </c>
      <c r="L236" s="1">
        <v>45856</v>
      </c>
      <c r="M236" t="s">
        <v>35</v>
      </c>
      <c r="O236">
        <v>0</v>
      </c>
      <c r="P236" t="s">
        <v>47</v>
      </c>
      <c r="Q236" t="s">
        <v>407</v>
      </c>
      <c r="R236" s="2">
        <v>1241.79</v>
      </c>
      <c r="S236" s="2">
        <v>0</v>
      </c>
      <c r="T236" s="2">
        <v>73</v>
      </c>
      <c r="U236" s="2">
        <v>1314.79</v>
      </c>
      <c r="V236" s="2">
        <v>1241.79</v>
      </c>
      <c r="W236" s="2">
        <v>0</v>
      </c>
      <c r="X236" s="2">
        <v>73</v>
      </c>
      <c r="Y236" s="2">
        <v>1314.79</v>
      </c>
      <c r="Z236" s="2">
        <v>0</v>
      </c>
      <c r="AA236" s="2">
        <v>0</v>
      </c>
      <c r="AB236" s="2">
        <v>0</v>
      </c>
      <c r="AC236" s="2">
        <v>0</v>
      </c>
      <c r="AD236" s="2">
        <v>0</v>
      </c>
    </row>
    <row r="237" spans="1:30" x14ac:dyDescent="0.35">
      <c r="A237" t="s">
        <v>271</v>
      </c>
      <c r="B237" t="s">
        <v>272</v>
      </c>
      <c r="C237" t="s">
        <v>31</v>
      </c>
      <c r="D237" s="23" t="s">
        <v>2448</v>
      </c>
      <c r="E237" s="1">
        <v>45859</v>
      </c>
      <c r="F237" s="3">
        <v>2025</v>
      </c>
      <c r="G237" s="1">
        <v>45868</v>
      </c>
      <c r="H237" t="s">
        <v>97</v>
      </c>
      <c r="I237" t="s">
        <v>98</v>
      </c>
      <c r="J237" t="s">
        <v>196</v>
      </c>
      <c r="K237" s="1">
        <v>45870</v>
      </c>
      <c r="L237" s="1">
        <v>45859</v>
      </c>
      <c r="M237" t="s">
        <v>35</v>
      </c>
      <c r="O237">
        <v>0</v>
      </c>
      <c r="P237" t="s">
        <v>273</v>
      </c>
      <c r="Q237" t="s">
        <v>191</v>
      </c>
      <c r="R237" s="2">
        <v>2078.63</v>
      </c>
      <c r="S237" s="2">
        <v>0</v>
      </c>
      <c r="T237" s="2">
        <v>965.96</v>
      </c>
      <c r="U237" s="2">
        <v>3044.59</v>
      </c>
      <c r="V237" s="2">
        <v>2078.63</v>
      </c>
      <c r="W237" s="2">
        <v>0</v>
      </c>
      <c r="X237" s="2">
        <v>965.96</v>
      </c>
      <c r="Y237" s="2">
        <v>3044.59</v>
      </c>
      <c r="Z237" s="2">
        <v>0</v>
      </c>
      <c r="AA237" s="2">
        <v>0</v>
      </c>
      <c r="AB237" s="2">
        <v>0</v>
      </c>
      <c r="AC237" s="2">
        <v>0</v>
      </c>
      <c r="AD237" s="2">
        <v>0</v>
      </c>
    </row>
    <row r="238" spans="1:30" x14ac:dyDescent="0.35">
      <c r="A238" t="s">
        <v>38</v>
      </c>
      <c r="B238" t="s">
        <v>199</v>
      </c>
      <c r="C238" t="s">
        <v>31</v>
      </c>
      <c r="D238" s="23" t="s">
        <v>2448</v>
      </c>
      <c r="E238" s="1">
        <v>45862</v>
      </c>
      <c r="F238" s="3">
        <v>2025</v>
      </c>
      <c r="G238" s="1">
        <v>45863</v>
      </c>
      <c r="H238" t="s">
        <v>168</v>
      </c>
      <c r="I238" t="s">
        <v>169</v>
      </c>
      <c r="J238" t="s">
        <v>200</v>
      </c>
      <c r="K238" s="1">
        <v>45876</v>
      </c>
      <c r="L238" s="1">
        <v>45862</v>
      </c>
      <c r="M238" t="s">
        <v>35</v>
      </c>
      <c r="O238">
        <v>0</v>
      </c>
      <c r="P238" t="s">
        <v>47</v>
      </c>
      <c r="Q238" t="s">
        <v>145</v>
      </c>
      <c r="R238" s="2">
        <v>0</v>
      </c>
      <c r="S238" s="2">
        <v>0</v>
      </c>
      <c r="T238" s="2">
        <v>0</v>
      </c>
      <c r="U238" s="2">
        <v>0</v>
      </c>
      <c r="V238" s="2">
        <v>0</v>
      </c>
      <c r="W238" s="2">
        <v>0</v>
      </c>
      <c r="X238" s="2">
        <v>0</v>
      </c>
      <c r="Y238" s="2">
        <v>0</v>
      </c>
      <c r="Z238" s="2">
        <v>0</v>
      </c>
      <c r="AA238" s="2">
        <v>0</v>
      </c>
      <c r="AB238" s="2">
        <v>0</v>
      </c>
      <c r="AC238" s="2">
        <v>0</v>
      </c>
      <c r="AD238" s="2">
        <v>0</v>
      </c>
    </row>
    <row r="239" spans="1:30" x14ac:dyDescent="0.35">
      <c r="A239" t="s">
        <v>82</v>
      </c>
      <c r="B239" t="s">
        <v>269</v>
      </c>
      <c r="C239" t="s">
        <v>31</v>
      </c>
      <c r="D239" s="23" t="s">
        <v>2448</v>
      </c>
      <c r="E239" s="1">
        <v>45863</v>
      </c>
      <c r="F239" s="3">
        <v>2025</v>
      </c>
      <c r="G239" s="1">
        <v>45866</v>
      </c>
      <c r="H239" t="s">
        <v>208</v>
      </c>
      <c r="I239" t="s">
        <v>69</v>
      </c>
      <c r="J239" t="s">
        <v>270</v>
      </c>
      <c r="K239" s="1">
        <v>45946</v>
      </c>
      <c r="L239" s="1">
        <v>45047</v>
      </c>
      <c r="M239" t="s">
        <v>35</v>
      </c>
      <c r="O239">
        <v>0</v>
      </c>
      <c r="P239" t="s">
        <v>36</v>
      </c>
      <c r="Q239" t="s">
        <v>93</v>
      </c>
      <c r="R239" s="2">
        <v>4282.34</v>
      </c>
      <c r="S239" s="2">
        <v>0</v>
      </c>
      <c r="T239" s="2">
        <v>1713.68</v>
      </c>
      <c r="U239" s="2">
        <v>5996.02</v>
      </c>
      <c r="V239" s="2">
        <v>4282.34</v>
      </c>
      <c r="W239" s="2">
        <v>0</v>
      </c>
      <c r="X239" s="2">
        <v>1713.68</v>
      </c>
      <c r="Y239" s="2">
        <v>5996.02</v>
      </c>
      <c r="Z239" s="2">
        <v>0</v>
      </c>
      <c r="AA239" s="2">
        <v>0</v>
      </c>
      <c r="AB239" s="2">
        <v>0</v>
      </c>
      <c r="AC239" s="2">
        <v>0</v>
      </c>
      <c r="AD239" s="2">
        <v>0</v>
      </c>
    </row>
    <row r="240" spans="1:30" x14ac:dyDescent="0.35">
      <c r="A240" t="s">
        <v>38</v>
      </c>
      <c r="B240" t="s">
        <v>462</v>
      </c>
      <c r="C240" t="s">
        <v>31</v>
      </c>
      <c r="D240" s="23" t="s">
        <v>2448</v>
      </c>
      <c r="E240" s="1">
        <v>45866</v>
      </c>
      <c r="F240" s="3">
        <v>2025</v>
      </c>
      <c r="G240" s="1">
        <v>45866</v>
      </c>
      <c r="H240" t="s">
        <v>120</v>
      </c>
      <c r="I240" t="s">
        <v>121</v>
      </c>
      <c r="J240" t="s">
        <v>103</v>
      </c>
      <c r="K240" t="s">
        <v>35</v>
      </c>
      <c r="L240" s="1">
        <v>45717</v>
      </c>
      <c r="M240" t="s">
        <v>35</v>
      </c>
      <c r="O240">
        <v>0</v>
      </c>
      <c r="P240" t="s">
        <v>47</v>
      </c>
      <c r="Q240" t="s">
        <v>53</v>
      </c>
      <c r="R240" s="2">
        <v>653.98</v>
      </c>
      <c r="S240" s="2">
        <v>0</v>
      </c>
      <c r="T240" s="2">
        <v>15.72</v>
      </c>
      <c r="U240" s="2">
        <v>669.7</v>
      </c>
      <c r="V240" s="2">
        <v>653.98</v>
      </c>
      <c r="W240" s="2">
        <v>0</v>
      </c>
      <c r="X240" s="2">
        <v>15.72</v>
      </c>
      <c r="Y240" s="2">
        <v>669.7</v>
      </c>
      <c r="Z240" s="2">
        <v>0</v>
      </c>
      <c r="AA240" s="2">
        <v>0</v>
      </c>
      <c r="AB240" s="2">
        <v>0</v>
      </c>
      <c r="AC240" s="2">
        <v>0</v>
      </c>
      <c r="AD240" s="2">
        <v>0</v>
      </c>
    </row>
    <row r="241" spans="1:30" x14ac:dyDescent="0.35">
      <c r="A241" t="s">
        <v>184</v>
      </c>
      <c r="B241" t="s">
        <v>404</v>
      </c>
      <c r="C241" t="s">
        <v>132</v>
      </c>
      <c r="D241" s="23" t="s">
        <v>2448</v>
      </c>
      <c r="E241" s="1">
        <v>45869</v>
      </c>
      <c r="F241" s="3">
        <v>2025</v>
      </c>
      <c r="G241" s="1">
        <v>45869</v>
      </c>
      <c r="H241" t="s">
        <v>61</v>
      </c>
      <c r="I241" t="s">
        <v>62</v>
      </c>
      <c r="J241" t="s">
        <v>34</v>
      </c>
      <c r="K241" t="s">
        <v>35</v>
      </c>
      <c r="L241" s="1">
        <v>45869</v>
      </c>
      <c r="M241" t="s">
        <v>35</v>
      </c>
      <c r="O241">
        <v>76</v>
      </c>
      <c r="P241" t="s">
        <v>95</v>
      </c>
      <c r="Q241" t="s">
        <v>76</v>
      </c>
      <c r="R241" s="2">
        <v>53392</v>
      </c>
      <c r="S241" s="2">
        <v>28108</v>
      </c>
      <c r="T241" s="2">
        <v>17944</v>
      </c>
      <c r="U241" s="2">
        <v>99444</v>
      </c>
      <c r="V241" s="2">
        <v>52214.3</v>
      </c>
      <c r="W241" s="2">
        <v>6872.9</v>
      </c>
      <c r="X241" s="2">
        <v>7242.77</v>
      </c>
      <c r="Y241" s="2">
        <v>66329.97</v>
      </c>
      <c r="Z241" s="2">
        <v>1177.7</v>
      </c>
      <c r="AA241" s="2">
        <v>21235.1</v>
      </c>
      <c r="AB241" s="2">
        <v>10701.23</v>
      </c>
      <c r="AC241" s="2">
        <v>33114.03</v>
      </c>
      <c r="AD241" s="2">
        <v>0</v>
      </c>
    </row>
    <row r="242" spans="1:30" x14ac:dyDescent="0.35">
      <c r="A242" t="s">
        <v>265</v>
      </c>
      <c r="B242" t="s">
        <v>362</v>
      </c>
      <c r="C242" t="s">
        <v>31</v>
      </c>
      <c r="D242" s="23" t="s">
        <v>2448</v>
      </c>
      <c r="E242" s="1">
        <v>45881</v>
      </c>
      <c r="F242" s="3">
        <v>2025</v>
      </c>
      <c r="G242" s="1">
        <v>45881</v>
      </c>
      <c r="H242" t="s">
        <v>148</v>
      </c>
      <c r="I242" t="s">
        <v>69</v>
      </c>
      <c r="J242" t="s">
        <v>292</v>
      </c>
      <c r="K242" s="1">
        <v>45971</v>
      </c>
      <c r="L242" s="1">
        <v>45881</v>
      </c>
      <c r="M242" t="s">
        <v>35</v>
      </c>
      <c r="O242">
        <v>0</v>
      </c>
      <c r="P242" t="s">
        <v>95</v>
      </c>
      <c r="Q242" t="s">
        <v>53</v>
      </c>
      <c r="R242" s="2">
        <v>0</v>
      </c>
      <c r="S242" s="2">
        <v>0</v>
      </c>
      <c r="T242" s="2">
        <v>0</v>
      </c>
      <c r="U242" s="2">
        <v>0</v>
      </c>
      <c r="V242" s="2">
        <v>0</v>
      </c>
      <c r="W242" s="2">
        <v>0</v>
      </c>
      <c r="X242" s="2">
        <v>0</v>
      </c>
      <c r="Y242" s="2">
        <v>0</v>
      </c>
      <c r="Z242" s="2">
        <v>0</v>
      </c>
      <c r="AA242" s="2">
        <v>0</v>
      </c>
      <c r="AB242" s="2">
        <v>0</v>
      </c>
      <c r="AC242" s="2">
        <v>0</v>
      </c>
      <c r="AD242" s="2">
        <v>0</v>
      </c>
    </row>
    <row r="243" spans="1:30" x14ac:dyDescent="0.35">
      <c r="A243" t="s">
        <v>29</v>
      </c>
      <c r="B243" t="s">
        <v>367</v>
      </c>
      <c r="C243" t="s">
        <v>31</v>
      </c>
      <c r="D243" s="23" t="s">
        <v>2448</v>
      </c>
      <c r="E243" s="1">
        <v>45890</v>
      </c>
      <c r="F243" s="3">
        <v>2025</v>
      </c>
      <c r="G243" s="1">
        <v>45890</v>
      </c>
      <c r="H243" t="s">
        <v>61</v>
      </c>
      <c r="I243" t="s">
        <v>62</v>
      </c>
      <c r="J243" t="s">
        <v>34</v>
      </c>
      <c r="K243" s="1">
        <v>45908</v>
      </c>
      <c r="L243" s="1">
        <v>45890</v>
      </c>
      <c r="M243" t="s">
        <v>35</v>
      </c>
      <c r="O243">
        <v>7</v>
      </c>
      <c r="P243" t="s">
        <v>36</v>
      </c>
      <c r="Q243" t="s">
        <v>93</v>
      </c>
      <c r="R243" s="2">
        <v>115.52</v>
      </c>
      <c r="S243" s="2">
        <v>1074.68</v>
      </c>
      <c r="T243" s="2">
        <v>23.53</v>
      </c>
      <c r="U243" s="2">
        <v>1213.73</v>
      </c>
      <c r="V243" s="2">
        <v>115.52</v>
      </c>
      <c r="W243" s="2">
        <v>1074.68</v>
      </c>
      <c r="X243" s="2">
        <v>23.53</v>
      </c>
      <c r="Y243" s="2">
        <v>1213.73</v>
      </c>
      <c r="Z243" s="2">
        <v>0</v>
      </c>
      <c r="AA243" s="2">
        <v>0</v>
      </c>
      <c r="AB243" s="2">
        <v>0</v>
      </c>
      <c r="AC243" s="2">
        <v>0</v>
      </c>
      <c r="AD243" s="2">
        <v>0</v>
      </c>
    </row>
    <row r="244" spans="1:30" x14ac:dyDescent="0.35">
      <c r="A244" t="s">
        <v>184</v>
      </c>
      <c r="B244" t="s">
        <v>185</v>
      </c>
      <c r="C244" t="s">
        <v>31</v>
      </c>
      <c r="D244" s="23" t="s">
        <v>2448</v>
      </c>
      <c r="E244" s="1">
        <v>45891</v>
      </c>
      <c r="F244" s="3">
        <v>2025</v>
      </c>
      <c r="G244" s="1">
        <v>45912</v>
      </c>
      <c r="H244" t="s">
        <v>148</v>
      </c>
      <c r="I244" t="s">
        <v>69</v>
      </c>
      <c r="J244" t="s">
        <v>186</v>
      </c>
      <c r="K244" s="1">
        <v>45915</v>
      </c>
      <c r="L244" s="1">
        <v>45891</v>
      </c>
      <c r="M244" t="s">
        <v>35</v>
      </c>
      <c r="O244">
        <v>0</v>
      </c>
      <c r="P244" t="s">
        <v>187</v>
      </c>
      <c r="Q244" t="s">
        <v>113</v>
      </c>
      <c r="R244" s="2">
        <v>2283.4</v>
      </c>
      <c r="S244" s="2">
        <v>0</v>
      </c>
      <c r="T244" s="2">
        <v>592.76</v>
      </c>
      <c r="U244" s="2">
        <v>2876.16</v>
      </c>
      <c r="V244" s="2">
        <v>2283.4</v>
      </c>
      <c r="W244" s="2">
        <v>0</v>
      </c>
      <c r="X244" s="2">
        <v>592.76</v>
      </c>
      <c r="Y244" s="2">
        <v>2876.16</v>
      </c>
      <c r="Z244" s="2">
        <v>0</v>
      </c>
      <c r="AA244" s="2">
        <v>0</v>
      </c>
      <c r="AB244" s="2">
        <v>0</v>
      </c>
      <c r="AC244" s="2">
        <v>0</v>
      </c>
      <c r="AD244" s="2">
        <v>0</v>
      </c>
    </row>
    <row r="245" spans="1:30" x14ac:dyDescent="0.35">
      <c r="A245" t="s">
        <v>188</v>
      </c>
      <c r="B245" t="s">
        <v>510</v>
      </c>
      <c r="C245" t="s">
        <v>31</v>
      </c>
      <c r="D245" s="23" t="s">
        <v>2448</v>
      </c>
      <c r="E245" s="1">
        <v>45895</v>
      </c>
      <c r="F245" s="3">
        <v>2025</v>
      </c>
      <c r="G245" s="1">
        <v>45895</v>
      </c>
      <c r="H245" t="s">
        <v>56</v>
      </c>
      <c r="I245" t="s">
        <v>51</v>
      </c>
      <c r="J245" t="s">
        <v>57</v>
      </c>
      <c r="K245" t="s">
        <v>35</v>
      </c>
      <c r="L245" s="1">
        <v>43040</v>
      </c>
      <c r="M245" t="s">
        <v>35</v>
      </c>
      <c r="O245">
        <v>0</v>
      </c>
      <c r="P245" t="s">
        <v>75</v>
      </c>
      <c r="Q245" t="s">
        <v>76</v>
      </c>
      <c r="R245" s="2">
        <v>1311.04</v>
      </c>
      <c r="S245" s="2">
        <v>0</v>
      </c>
      <c r="T245" s="2">
        <v>36.97</v>
      </c>
      <c r="U245" s="2">
        <v>1348.01</v>
      </c>
      <c r="V245" s="2">
        <v>1311.04</v>
      </c>
      <c r="W245" s="2">
        <v>0</v>
      </c>
      <c r="X245" s="2">
        <v>36.97</v>
      </c>
      <c r="Y245" s="2">
        <v>1348.01</v>
      </c>
      <c r="Z245" s="2">
        <v>0</v>
      </c>
      <c r="AA245" s="2">
        <v>0</v>
      </c>
      <c r="AB245" s="2">
        <v>0</v>
      </c>
      <c r="AC245" s="2">
        <v>0</v>
      </c>
      <c r="AD245" s="2">
        <v>0</v>
      </c>
    </row>
    <row r="246" spans="1:30" x14ac:dyDescent="0.35">
      <c r="A246" t="s">
        <v>29</v>
      </c>
      <c r="B246" t="s">
        <v>469</v>
      </c>
      <c r="C246" t="s">
        <v>31</v>
      </c>
      <c r="D246" s="23" t="s">
        <v>2448</v>
      </c>
      <c r="E246" s="1">
        <v>45896</v>
      </c>
      <c r="F246" s="3">
        <v>2025</v>
      </c>
      <c r="G246" s="1">
        <v>45898</v>
      </c>
      <c r="H246" t="s">
        <v>470</v>
      </c>
      <c r="I246" t="s">
        <v>314</v>
      </c>
      <c r="J246" t="s">
        <v>186</v>
      </c>
      <c r="K246" s="1">
        <v>45904</v>
      </c>
      <c r="L246" s="1">
        <v>45896</v>
      </c>
      <c r="M246" t="s">
        <v>35</v>
      </c>
      <c r="O246">
        <v>0</v>
      </c>
      <c r="P246" t="s">
        <v>41</v>
      </c>
      <c r="Q246" t="s">
        <v>42</v>
      </c>
      <c r="R246" s="2">
        <v>0</v>
      </c>
      <c r="S246" s="2">
        <v>0</v>
      </c>
      <c r="T246" s="2">
        <v>0</v>
      </c>
      <c r="U246" s="2">
        <v>0</v>
      </c>
      <c r="V246" s="2">
        <v>0</v>
      </c>
      <c r="W246" s="2">
        <v>0</v>
      </c>
      <c r="X246" s="2">
        <v>0</v>
      </c>
      <c r="Y246" s="2">
        <v>0</v>
      </c>
      <c r="Z246" s="2">
        <v>0</v>
      </c>
      <c r="AA246" s="2">
        <v>0</v>
      </c>
      <c r="AB246" s="2">
        <v>0</v>
      </c>
      <c r="AC246" s="2">
        <v>0</v>
      </c>
      <c r="AD246" s="2">
        <v>0</v>
      </c>
    </row>
    <row r="247" spans="1:30" x14ac:dyDescent="0.35">
      <c r="A247" t="s">
        <v>38</v>
      </c>
      <c r="B247" t="s">
        <v>471</v>
      </c>
      <c r="C247" t="s">
        <v>31</v>
      </c>
      <c r="D247" s="23" t="s">
        <v>2448</v>
      </c>
      <c r="E247" s="1">
        <v>45896</v>
      </c>
      <c r="F247" s="3">
        <v>2025</v>
      </c>
      <c r="G247" s="1">
        <v>45896</v>
      </c>
      <c r="H247" t="s">
        <v>470</v>
      </c>
      <c r="I247" t="s">
        <v>472</v>
      </c>
      <c r="J247" t="s">
        <v>46</v>
      </c>
      <c r="K247" t="s">
        <v>35</v>
      </c>
      <c r="L247" s="1">
        <v>44348</v>
      </c>
      <c r="M247" t="s">
        <v>35</v>
      </c>
      <c r="O247">
        <v>0</v>
      </c>
      <c r="P247" t="s">
        <v>47</v>
      </c>
      <c r="Q247" t="s">
        <v>108</v>
      </c>
      <c r="R247" s="2">
        <v>150.4</v>
      </c>
      <c r="S247" s="2">
        <v>0</v>
      </c>
      <c r="T247" s="2">
        <v>115.35</v>
      </c>
      <c r="U247" s="2">
        <v>265.75</v>
      </c>
      <c r="V247" s="2">
        <v>150.4</v>
      </c>
      <c r="W247" s="2">
        <v>0</v>
      </c>
      <c r="X247" s="2">
        <v>115.35</v>
      </c>
      <c r="Y247" s="2">
        <v>265.75</v>
      </c>
      <c r="Z247" s="2">
        <v>0</v>
      </c>
      <c r="AA247" s="2">
        <v>0</v>
      </c>
      <c r="AB247" s="2">
        <v>0</v>
      </c>
      <c r="AC247" s="2">
        <v>0</v>
      </c>
      <c r="AD247" s="2">
        <v>0</v>
      </c>
    </row>
    <row r="248" spans="1:30" x14ac:dyDescent="0.35">
      <c r="A248" t="s">
        <v>82</v>
      </c>
      <c r="B248" t="s">
        <v>474</v>
      </c>
      <c r="C248" t="s">
        <v>31</v>
      </c>
      <c r="D248" s="23" t="s">
        <v>2448</v>
      </c>
      <c r="E248" s="1">
        <v>45902</v>
      </c>
      <c r="F248" s="3">
        <v>2025</v>
      </c>
      <c r="G248" s="1">
        <v>45902</v>
      </c>
      <c r="H248" t="s">
        <v>475</v>
      </c>
      <c r="I248" t="s">
        <v>62</v>
      </c>
      <c r="J248" t="s">
        <v>183</v>
      </c>
      <c r="K248" s="1">
        <v>45905</v>
      </c>
      <c r="L248" s="1">
        <v>45701</v>
      </c>
      <c r="M248" t="s">
        <v>35</v>
      </c>
      <c r="O248">
        <v>0</v>
      </c>
      <c r="P248" t="s">
        <v>36</v>
      </c>
      <c r="Q248" t="s">
        <v>87</v>
      </c>
      <c r="R248" s="2">
        <v>1898.65</v>
      </c>
      <c r="S248" s="2">
        <v>0</v>
      </c>
      <c r="T248" s="2">
        <v>101.27</v>
      </c>
      <c r="U248" s="2">
        <v>1999.92</v>
      </c>
      <c r="V248" s="2">
        <v>1898.65</v>
      </c>
      <c r="W248" s="2">
        <v>0</v>
      </c>
      <c r="X248" s="2">
        <v>101.27</v>
      </c>
      <c r="Y248" s="2">
        <v>1999.92</v>
      </c>
      <c r="Z248" s="2">
        <v>0</v>
      </c>
      <c r="AA248" s="2">
        <v>0</v>
      </c>
      <c r="AB248" s="2">
        <v>0</v>
      </c>
      <c r="AC248" s="2">
        <v>0</v>
      </c>
      <c r="AD248" s="2">
        <v>0</v>
      </c>
    </row>
    <row r="249" spans="1:30" x14ac:dyDescent="0.35">
      <c r="A249" t="s">
        <v>88</v>
      </c>
      <c r="B249" t="s">
        <v>482</v>
      </c>
      <c r="C249" t="s">
        <v>132</v>
      </c>
      <c r="D249" s="23" t="s">
        <v>2448</v>
      </c>
      <c r="E249" s="1">
        <v>45902</v>
      </c>
      <c r="F249" s="3">
        <v>2025</v>
      </c>
      <c r="G249" s="1">
        <v>45909</v>
      </c>
      <c r="H249" t="s">
        <v>164</v>
      </c>
      <c r="I249" t="s">
        <v>51</v>
      </c>
      <c r="J249" t="s">
        <v>40</v>
      </c>
      <c r="K249" t="s">
        <v>35</v>
      </c>
      <c r="L249" s="1">
        <v>45782</v>
      </c>
      <c r="M249" t="s">
        <v>35</v>
      </c>
      <c r="O249">
        <v>0</v>
      </c>
      <c r="P249" t="s">
        <v>41</v>
      </c>
      <c r="Q249" t="s">
        <v>42</v>
      </c>
      <c r="R249" s="2">
        <v>4400</v>
      </c>
      <c r="S249" s="2">
        <v>0</v>
      </c>
      <c r="T249" s="2">
        <v>2000</v>
      </c>
      <c r="U249" s="2">
        <v>6400</v>
      </c>
      <c r="V249" s="2">
        <v>898.73</v>
      </c>
      <c r="W249" s="2">
        <v>0</v>
      </c>
      <c r="X249" s="2">
        <v>239.37</v>
      </c>
      <c r="Y249" s="2">
        <v>1138.0999999999999</v>
      </c>
      <c r="Z249" s="2">
        <v>3501.27</v>
      </c>
      <c r="AA249" s="2">
        <v>0</v>
      </c>
      <c r="AB249" s="2">
        <v>1760.63</v>
      </c>
      <c r="AC249" s="2">
        <v>5261.9</v>
      </c>
      <c r="AD249" s="2">
        <v>0</v>
      </c>
    </row>
    <row r="250" spans="1:30" x14ac:dyDescent="0.35">
      <c r="A250" t="s">
        <v>38</v>
      </c>
      <c r="B250" t="s">
        <v>237</v>
      </c>
      <c r="C250" t="s">
        <v>31</v>
      </c>
      <c r="D250" s="23" t="s">
        <v>2448</v>
      </c>
      <c r="E250" s="1">
        <v>45903</v>
      </c>
      <c r="F250" s="3">
        <v>2025</v>
      </c>
      <c r="G250" s="1">
        <v>45903</v>
      </c>
      <c r="H250" t="s">
        <v>61</v>
      </c>
      <c r="I250" t="s">
        <v>62</v>
      </c>
      <c r="J250" t="s">
        <v>165</v>
      </c>
      <c r="K250" t="s">
        <v>35</v>
      </c>
      <c r="L250" s="1">
        <v>45903</v>
      </c>
      <c r="M250" t="s">
        <v>35</v>
      </c>
      <c r="O250">
        <v>0</v>
      </c>
      <c r="P250" t="s">
        <v>47</v>
      </c>
      <c r="Q250" t="s">
        <v>238</v>
      </c>
      <c r="R250" s="2">
        <v>440.61</v>
      </c>
      <c r="S250" s="2">
        <v>0</v>
      </c>
      <c r="T250" s="2">
        <v>6.96</v>
      </c>
      <c r="U250" s="2">
        <v>447.57</v>
      </c>
      <c r="V250" s="2">
        <v>440.61</v>
      </c>
      <c r="W250" s="2">
        <v>0</v>
      </c>
      <c r="X250" s="2">
        <v>6.96</v>
      </c>
      <c r="Y250" s="2">
        <v>447.57</v>
      </c>
      <c r="Z250" s="2">
        <v>0</v>
      </c>
      <c r="AA250" s="2">
        <v>0</v>
      </c>
      <c r="AB250" s="2">
        <v>0</v>
      </c>
      <c r="AC250" s="2">
        <v>0</v>
      </c>
      <c r="AD250" s="2">
        <v>0</v>
      </c>
    </row>
    <row r="251" spans="1:30" x14ac:dyDescent="0.35">
      <c r="A251" t="s">
        <v>171</v>
      </c>
      <c r="B251" t="s">
        <v>392</v>
      </c>
      <c r="C251" t="s">
        <v>31</v>
      </c>
      <c r="D251" s="23" t="s">
        <v>2448</v>
      </c>
      <c r="E251" s="1">
        <v>45903</v>
      </c>
      <c r="F251" s="3">
        <v>2025</v>
      </c>
      <c r="G251" s="1">
        <v>45903</v>
      </c>
      <c r="H251" t="s">
        <v>61</v>
      </c>
      <c r="I251" t="s">
        <v>62</v>
      </c>
      <c r="J251" t="s">
        <v>40</v>
      </c>
      <c r="K251" s="1">
        <v>45905</v>
      </c>
      <c r="L251" s="1">
        <v>45530</v>
      </c>
      <c r="M251" t="s">
        <v>35</v>
      </c>
      <c r="O251">
        <v>0</v>
      </c>
      <c r="P251" t="s">
        <v>41</v>
      </c>
      <c r="Q251" t="s">
        <v>42</v>
      </c>
      <c r="R251" s="2">
        <v>0</v>
      </c>
      <c r="S251" s="2">
        <v>0</v>
      </c>
      <c r="T251" s="2">
        <v>0</v>
      </c>
      <c r="U251" s="2">
        <v>0</v>
      </c>
      <c r="V251" s="2">
        <v>0</v>
      </c>
      <c r="W251" s="2">
        <v>0</v>
      </c>
      <c r="X251" s="2">
        <v>0</v>
      </c>
      <c r="Y251" s="2">
        <v>0</v>
      </c>
      <c r="Z251" s="2">
        <v>0</v>
      </c>
      <c r="AA251" s="2">
        <v>0</v>
      </c>
      <c r="AB251" s="2">
        <v>0</v>
      </c>
      <c r="AC251" s="2">
        <v>0</v>
      </c>
      <c r="AD251" s="2">
        <v>0</v>
      </c>
    </row>
    <row r="252" spans="1:30" x14ac:dyDescent="0.35">
      <c r="A252" t="s">
        <v>88</v>
      </c>
      <c r="B252" t="s">
        <v>89</v>
      </c>
      <c r="C252" t="s">
        <v>31</v>
      </c>
      <c r="D252" s="23" t="s">
        <v>2448</v>
      </c>
      <c r="E252" s="1">
        <v>45912</v>
      </c>
      <c r="F252" s="3">
        <v>2025</v>
      </c>
      <c r="G252" s="1">
        <v>45915</v>
      </c>
      <c r="H252" t="s">
        <v>32</v>
      </c>
      <c r="I252" t="s">
        <v>33</v>
      </c>
      <c r="J252" t="s">
        <v>40</v>
      </c>
      <c r="K252" s="1">
        <v>45924</v>
      </c>
      <c r="L252" s="1">
        <v>45912</v>
      </c>
      <c r="M252" t="s">
        <v>35</v>
      </c>
      <c r="O252">
        <v>0</v>
      </c>
      <c r="P252" t="s">
        <v>41</v>
      </c>
      <c r="Q252" t="s">
        <v>42</v>
      </c>
      <c r="R252" s="2">
        <v>0</v>
      </c>
      <c r="S252" s="2">
        <v>0</v>
      </c>
      <c r="T252" s="2">
        <v>0</v>
      </c>
      <c r="U252" s="2">
        <v>0</v>
      </c>
      <c r="V252" s="2">
        <v>0</v>
      </c>
      <c r="W252" s="2">
        <v>0</v>
      </c>
      <c r="X252" s="2">
        <v>0</v>
      </c>
      <c r="Y252" s="2">
        <v>0</v>
      </c>
      <c r="Z252" s="2">
        <v>0</v>
      </c>
      <c r="AA252" s="2">
        <v>0</v>
      </c>
      <c r="AB252" s="2">
        <v>0</v>
      </c>
      <c r="AC252" s="2">
        <v>0</v>
      </c>
      <c r="AD252" s="2">
        <v>0</v>
      </c>
    </row>
    <row r="253" spans="1:30" x14ac:dyDescent="0.35">
      <c r="A253" t="s">
        <v>265</v>
      </c>
      <c r="B253" t="s">
        <v>399</v>
      </c>
      <c r="C253" t="s">
        <v>31</v>
      </c>
      <c r="D253" s="23" t="s">
        <v>2448</v>
      </c>
      <c r="E253" s="1">
        <v>45915</v>
      </c>
      <c r="F253" s="3">
        <v>2025</v>
      </c>
      <c r="G253" s="1">
        <v>45916</v>
      </c>
      <c r="H253" t="s">
        <v>61</v>
      </c>
      <c r="I253" t="s">
        <v>62</v>
      </c>
      <c r="J253" t="s">
        <v>92</v>
      </c>
      <c r="K253" s="1">
        <v>45918</v>
      </c>
      <c r="L253" s="1">
        <v>45915</v>
      </c>
      <c r="M253" t="s">
        <v>35</v>
      </c>
      <c r="O253">
        <v>0</v>
      </c>
      <c r="P253" t="s">
        <v>64</v>
      </c>
      <c r="Q253" t="s">
        <v>238</v>
      </c>
      <c r="R253" s="2">
        <v>0</v>
      </c>
      <c r="S253" s="2">
        <v>0</v>
      </c>
      <c r="T253" s="2">
        <v>0</v>
      </c>
      <c r="U253" s="2">
        <v>0</v>
      </c>
      <c r="V253" s="2">
        <v>0</v>
      </c>
      <c r="W253" s="2">
        <v>0</v>
      </c>
      <c r="X253" s="2">
        <v>0</v>
      </c>
      <c r="Y253" s="2">
        <v>0</v>
      </c>
      <c r="Z253" s="2">
        <v>0</v>
      </c>
      <c r="AA253" s="2">
        <v>0</v>
      </c>
      <c r="AB253" s="2">
        <v>0</v>
      </c>
      <c r="AC253" s="2">
        <v>0</v>
      </c>
      <c r="AD253" s="2">
        <v>0</v>
      </c>
    </row>
    <row r="254" spans="1:30" x14ac:dyDescent="0.35">
      <c r="A254" t="s">
        <v>38</v>
      </c>
      <c r="B254" t="s">
        <v>230</v>
      </c>
      <c r="C254" t="s">
        <v>31</v>
      </c>
      <c r="D254" s="23" t="s">
        <v>2448</v>
      </c>
      <c r="E254" s="1">
        <v>45918</v>
      </c>
      <c r="F254" s="3">
        <v>2025</v>
      </c>
      <c r="G254" s="1">
        <v>45922</v>
      </c>
      <c r="H254" t="s">
        <v>97</v>
      </c>
      <c r="I254" t="s">
        <v>98</v>
      </c>
      <c r="J254" t="s">
        <v>165</v>
      </c>
      <c r="K254" t="s">
        <v>35</v>
      </c>
      <c r="L254" s="1">
        <v>45918</v>
      </c>
      <c r="M254" t="s">
        <v>35</v>
      </c>
      <c r="O254">
        <v>0</v>
      </c>
      <c r="P254" t="s">
        <v>47</v>
      </c>
      <c r="Q254" t="s">
        <v>113</v>
      </c>
      <c r="R254" s="2">
        <v>0</v>
      </c>
      <c r="S254" s="2">
        <v>0</v>
      </c>
      <c r="T254" s="2">
        <v>0</v>
      </c>
      <c r="U254" s="2">
        <v>0</v>
      </c>
      <c r="V254" s="2">
        <v>0</v>
      </c>
      <c r="W254" s="2">
        <v>0</v>
      </c>
      <c r="X254" s="2">
        <v>0</v>
      </c>
      <c r="Y254" s="2">
        <v>0</v>
      </c>
      <c r="Z254" s="2">
        <v>0</v>
      </c>
      <c r="AA254" s="2">
        <v>0</v>
      </c>
      <c r="AB254" s="2">
        <v>0</v>
      </c>
      <c r="AC254" s="2">
        <v>0</v>
      </c>
      <c r="AD254" s="2">
        <v>0</v>
      </c>
    </row>
    <row r="255" spans="1:30" x14ac:dyDescent="0.35">
      <c r="A255" t="s">
        <v>99</v>
      </c>
      <c r="B255" t="s">
        <v>109</v>
      </c>
      <c r="C255" t="s">
        <v>31</v>
      </c>
      <c r="D255" s="23" t="s">
        <v>2448</v>
      </c>
      <c r="E255" s="1">
        <v>45924</v>
      </c>
      <c r="F255" s="3">
        <v>2025</v>
      </c>
      <c r="G255" s="1">
        <v>45931</v>
      </c>
      <c r="H255" t="s">
        <v>44</v>
      </c>
      <c r="I255" t="s">
        <v>45</v>
      </c>
      <c r="J255" t="s">
        <v>92</v>
      </c>
      <c r="K255" t="s">
        <v>35</v>
      </c>
      <c r="L255" s="1">
        <v>45782</v>
      </c>
      <c r="M255" t="s">
        <v>35</v>
      </c>
      <c r="O255">
        <v>0</v>
      </c>
      <c r="P255" t="s">
        <v>64</v>
      </c>
      <c r="Q255" t="s">
        <v>65</v>
      </c>
      <c r="R255" s="2">
        <v>0</v>
      </c>
      <c r="S255" s="2">
        <v>0</v>
      </c>
      <c r="T255" s="2">
        <v>0</v>
      </c>
      <c r="U255" s="2">
        <v>0</v>
      </c>
      <c r="V255" s="2">
        <v>0</v>
      </c>
      <c r="W255" s="2">
        <v>0</v>
      </c>
      <c r="X255" s="2">
        <v>0</v>
      </c>
      <c r="Y255" s="2">
        <v>0</v>
      </c>
      <c r="Z255" s="2">
        <v>0</v>
      </c>
      <c r="AA255" s="2">
        <v>0</v>
      </c>
      <c r="AB255" s="2">
        <v>0</v>
      </c>
      <c r="AC255" s="2">
        <v>0</v>
      </c>
      <c r="AD255" s="2">
        <v>0</v>
      </c>
    </row>
    <row r="256" spans="1:30" x14ac:dyDescent="0.35">
      <c r="A256" t="s">
        <v>82</v>
      </c>
      <c r="B256" t="s">
        <v>307</v>
      </c>
      <c r="C256" t="s">
        <v>31</v>
      </c>
      <c r="D256" s="23" t="s">
        <v>2448</v>
      </c>
      <c r="E256" s="1">
        <v>45926</v>
      </c>
      <c r="F256" s="3">
        <v>2025</v>
      </c>
      <c r="G256" s="1">
        <v>45936</v>
      </c>
      <c r="H256" t="s">
        <v>211</v>
      </c>
      <c r="I256" t="s">
        <v>212</v>
      </c>
      <c r="J256" t="s">
        <v>200</v>
      </c>
      <c r="K256" t="s">
        <v>35</v>
      </c>
      <c r="L256" s="1">
        <v>45926</v>
      </c>
      <c r="M256" t="s">
        <v>35</v>
      </c>
      <c r="O256">
        <v>0</v>
      </c>
      <c r="P256" t="s">
        <v>36</v>
      </c>
      <c r="Q256" t="s">
        <v>48</v>
      </c>
      <c r="R256" s="2">
        <v>0</v>
      </c>
      <c r="S256" s="2">
        <v>0</v>
      </c>
      <c r="T256" s="2">
        <v>0</v>
      </c>
      <c r="U256" s="2">
        <v>0</v>
      </c>
      <c r="V256" s="2">
        <v>0</v>
      </c>
      <c r="W256" s="2">
        <v>0</v>
      </c>
      <c r="X256" s="2">
        <v>0</v>
      </c>
      <c r="Y256" s="2">
        <v>0</v>
      </c>
      <c r="Z256" s="2">
        <v>0</v>
      </c>
      <c r="AA256" s="2">
        <v>0</v>
      </c>
      <c r="AB256" s="2">
        <v>0</v>
      </c>
      <c r="AC256" s="2">
        <v>0</v>
      </c>
      <c r="AD256" s="2">
        <v>0</v>
      </c>
    </row>
    <row r="257" spans="1:30" x14ac:dyDescent="0.35">
      <c r="A257" t="s">
        <v>29</v>
      </c>
      <c r="B257" t="s">
        <v>476</v>
      </c>
      <c r="C257" t="s">
        <v>31</v>
      </c>
      <c r="D257" s="23" t="s">
        <v>2448</v>
      </c>
      <c r="E257" s="1">
        <v>45929</v>
      </c>
      <c r="F257" s="3">
        <v>2025</v>
      </c>
      <c r="G257" s="1">
        <v>45930</v>
      </c>
      <c r="H257" t="s">
        <v>148</v>
      </c>
      <c r="I257" t="s">
        <v>69</v>
      </c>
      <c r="J257" t="s">
        <v>309</v>
      </c>
      <c r="K257" t="s">
        <v>35</v>
      </c>
      <c r="L257" s="1">
        <v>39995</v>
      </c>
      <c r="M257" t="s">
        <v>35</v>
      </c>
      <c r="O257">
        <v>0</v>
      </c>
      <c r="P257" t="s">
        <v>36</v>
      </c>
      <c r="Q257" t="s">
        <v>65</v>
      </c>
      <c r="R257" s="2">
        <v>645.03</v>
      </c>
      <c r="S257" s="2">
        <v>0</v>
      </c>
      <c r="T257" s="2">
        <v>28.61</v>
      </c>
      <c r="U257" s="2">
        <v>673.64</v>
      </c>
      <c r="V257" s="2">
        <v>645.03</v>
      </c>
      <c r="W257" s="2">
        <v>0</v>
      </c>
      <c r="X257" s="2">
        <v>28.61</v>
      </c>
      <c r="Y257" s="2">
        <v>673.64</v>
      </c>
      <c r="Z257" s="2">
        <v>0</v>
      </c>
      <c r="AA257" s="2">
        <v>0</v>
      </c>
      <c r="AB257" s="2">
        <v>0</v>
      </c>
      <c r="AC257" s="2">
        <v>0</v>
      </c>
      <c r="AD257" s="2">
        <v>0</v>
      </c>
    </row>
    <row r="258" spans="1:30" x14ac:dyDescent="0.35">
      <c r="A258" t="s">
        <v>224</v>
      </c>
      <c r="B258" t="s">
        <v>435</v>
      </c>
      <c r="C258" t="s">
        <v>31</v>
      </c>
      <c r="D258" s="23" t="s">
        <v>2448</v>
      </c>
      <c r="E258" s="1">
        <v>45931</v>
      </c>
      <c r="F258" s="3">
        <v>2025</v>
      </c>
      <c r="G258" s="1">
        <v>45932</v>
      </c>
      <c r="H258" t="s">
        <v>61</v>
      </c>
      <c r="I258" t="s">
        <v>62</v>
      </c>
      <c r="J258" t="s">
        <v>227</v>
      </c>
      <c r="K258" t="s">
        <v>35</v>
      </c>
      <c r="L258" s="1">
        <v>45931</v>
      </c>
      <c r="M258" t="s">
        <v>35</v>
      </c>
      <c r="O258">
        <v>0</v>
      </c>
      <c r="P258" t="s">
        <v>228</v>
      </c>
      <c r="Q258" t="s">
        <v>81</v>
      </c>
      <c r="R258" s="2">
        <v>0</v>
      </c>
      <c r="S258" s="2">
        <v>0</v>
      </c>
      <c r="T258" s="2">
        <v>0</v>
      </c>
      <c r="U258" s="2">
        <v>0</v>
      </c>
      <c r="V258" s="2">
        <v>0</v>
      </c>
      <c r="W258" s="2">
        <v>0</v>
      </c>
      <c r="X258" s="2">
        <v>0</v>
      </c>
      <c r="Y258" s="2">
        <v>0</v>
      </c>
      <c r="Z258" s="2">
        <v>0</v>
      </c>
      <c r="AA258" s="2">
        <v>0</v>
      </c>
      <c r="AB258" s="2">
        <v>0</v>
      </c>
      <c r="AC258" s="2">
        <v>0</v>
      </c>
      <c r="AD258" s="2">
        <v>0</v>
      </c>
    </row>
    <row r="259" spans="1:30" x14ac:dyDescent="0.35">
      <c r="A259" t="s">
        <v>99</v>
      </c>
      <c r="B259" t="s">
        <v>203</v>
      </c>
      <c r="C259" t="s">
        <v>132</v>
      </c>
      <c r="D259" s="23" t="s">
        <v>2448</v>
      </c>
      <c r="E259" s="1">
        <v>45932</v>
      </c>
      <c r="F259" s="3">
        <v>2025</v>
      </c>
      <c r="G259" s="1">
        <v>45966</v>
      </c>
      <c r="H259" t="s">
        <v>204</v>
      </c>
      <c r="I259" t="s">
        <v>51</v>
      </c>
      <c r="J259" t="s">
        <v>92</v>
      </c>
      <c r="K259" t="s">
        <v>35</v>
      </c>
      <c r="L259" s="1">
        <v>45932</v>
      </c>
      <c r="M259" t="s">
        <v>35</v>
      </c>
      <c r="O259">
        <v>0</v>
      </c>
      <c r="P259" t="s">
        <v>36</v>
      </c>
      <c r="Q259" t="s">
        <v>191</v>
      </c>
      <c r="R259" s="2">
        <v>4100</v>
      </c>
      <c r="S259" s="2">
        <v>0</v>
      </c>
      <c r="T259" s="2">
        <v>1900</v>
      </c>
      <c r="U259" s="2">
        <v>6000</v>
      </c>
      <c r="V259" s="2">
        <v>0</v>
      </c>
      <c r="W259" s="2">
        <v>0</v>
      </c>
      <c r="X259" s="2">
        <v>0</v>
      </c>
      <c r="Y259" s="2">
        <v>0</v>
      </c>
      <c r="Z259" s="2">
        <v>4100</v>
      </c>
      <c r="AA259" s="2">
        <v>0</v>
      </c>
      <c r="AB259" s="2">
        <v>1900</v>
      </c>
      <c r="AC259" s="2">
        <v>6000</v>
      </c>
      <c r="AD259" s="2">
        <v>0</v>
      </c>
    </row>
    <row r="260" spans="1:30" x14ac:dyDescent="0.35">
      <c r="A260" t="s">
        <v>90</v>
      </c>
      <c r="B260" t="s">
        <v>210</v>
      </c>
      <c r="C260" t="s">
        <v>132</v>
      </c>
      <c r="D260" s="23" t="s">
        <v>2448</v>
      </c>
      <c r="E260" s="1">
        <v>45938</v>
      </c>
      <c r="F260" s="3">
        <v>2025</v>
      </c>
      <c r="G260" s="1">
        <v>45946</v>
      </c>
      <c r="H260" t="s">
        <v>211</v>
      </c>
      <c r="I260" t="s">
        <v>212</v>
      </c>
      <c r="J260" t="s">
        <v>213</v>
      </c>
      <c r="K260" t="s">
        <v>35</v>
      </c>
      <c r="L260" s="1">
        <v>44536</v>
      </c>
      <c r="M260" t="s">
        <v>35</v>
      </c>
      <c r="O260">
        <v>0</v>
      </c>
      <c r="P260" t="s">
        <v>187</v>
      </c>
      <c r="Q260" t="s">
        <v>65</v>
      </c>
      <c r="R260" s="2">
        <v>7500</v>
      </c>
      <c r="S260" s="2">
        <v>0</v>
      </c>
      <c r="T260" s="2">
        <v>2000</v>
      </c>
      <c r="U260" s="2">
        <v>9500</v>
      </c>
      <c r="V260" s="2">
        <v>0</v>
      </c>
      <c r="W260" s="2">
        <v>0</v>
      </c>
      <c r="X260" s="2">
        <v>0</v>
      </c>
      <c r="Y260" s="2">
        <v>0</v>
      </c>
      <c r="Z260" s="2">
        <v>7500</v>
      </c>
      <c r="AA260" s="2">
        <v>0</v>
      </c>
      <c r="AB260" s="2">
        <v>2000</v>
      </c>
      <c r="AC260" s="2">
        <v>9500</v>
      </c>
      <c r="AD260" s="2">
        <v>0</v>
      </c>
    </row>
    <row r="261" spans="1:30" x14ac:dyDescent="0.35">
      <c r="A261" t="s">
        <v>184</v>
      </c>
      <c r="B261" t="s">
        <v>376</v>
      </c>
      <c r="C261" t="s">
        <v>31</v>
      </c>
      <c r="D261" s="23" t="s">
        <v>2448</v>
      </c>
      <c r="E261" s="1">
        <v>45940</v>
      </c>
      <c r="F261" s="3">
        <v>2025</v>
      </c>
      <c r="G261" s="1">
        <v>45945</v>
      </c>
      <c r="H261" t="s">
        <v>61</v>
      </c>
      <c r="I261" t="s">
        <v>62</v>
      </c>
      <c r="J261" t="s">
        <v>165</v>
      </c>
      <c r="K261" t="s">
        <v>35</v>
      </c>
      <c r="L261" s="1">
        <v>45418</v>
      </c>
      <c r="M261" t="s">
        <v>35</v>
      </c>
      <c r="O261">
        <v>0</v>
      </c>
      <c r="P261" t="s">
        <v>64</v>
      </c>
      <c r="Q261" t="s">
        <v>53</v>
      </c>
      <c r="R261" s="2">
        <v>0</v>
      </c>
      <c r="S261" s="2">
        <v>0</v>
      </c>
      <c r="T261" s="2">
        <v>0</v>
      </c>
      <c r="U261" s="2">
        <v>0</v>
      </c>
      <c r="V261" s="2">
        <v>0</v>
      </c>
      <c r="W261" s="2">
        <v>0</v>
      </c>
      <c r="X261" s="2">
        <v>0</v>
      </c>
      <c r="Y261" s="2">
        <v>0</v>
      </c>
      <c r="Z261" s="2">
        <v>0</v>
      </c>
      <c r="AA261" s="2">
        <v>0</v>
      </c>
      <c r="AB261" s="2">
        <v>0</v>
      </c>
      <c r="AC261" s="2">
        <v>0</v>
      </c>
      <c r="AD261" s="2">
        <v>0</v>
      </c>
    </row>
    <row r="262" spans="1:30" x14ac:dyDescent="0.35">
      <c r="A262" t="s">
        <v>38</v>
      </c>
      <c r="B262" t="s">
        <v>322</v>
      </c>
      <c r="C262" t="s">
        <v>31</v>
      </c>
      <c r="D262" s="23" t="s">
        <v>2448</v>
      </c>
      <c r="E262" s="1">
        <v>45951</v>
      </c>
      <c r="F262" s="3">
        <v>2025</v>
      </c>
      <c r="G262" s="1">
        <v>45952</v>
      </c>
      <c r="H262" t="s">
        <v>61</v>
      </c>
      <c r="I262" t="s">
        <v>62</v>
      </c>
      <c r="J262" t="s">
        <v>34</v>
      </c>
      <c r="K262" t="s">
        <v>35</v>
      </c>
      <c r="L262" s="1">
        <v>45951</v>
      </c>
      <c r="M262" t="s">
        <v>35</v>
      </c>
      <c r="O262">
        <v>0</v>
      </c>
      <c r="P262" t="s">
        <v>64</v>
      </c>
      <c r="Q262" t="s">
        <v>151</v>
      </c>
      <c r="R262" s="2">
        <v>0</v>
      </c>
      <c r="S262" s="2">
        <v>0</v>
      </c>
      <c r="T262" s="2">
        <v>0</v>
      </c>
      <c r="U262" s="2">
        <v>0</v>
      </c>
      <c r="V262" s="2">
        <v>0</v>
      </c>
      <c r="W262" s="2">
        <v>0</v>
      </c>
      <c r="X262" s="2">
        <v>0</v>
      </c>
      <c r="Y262" s="2">
        <v>0</v>
      </c>
      <c r="Z262" s="2">
        <v>0</v>
      </c>
      <c r="AA262" s="2">
        <v>0</v>
      </c>
      <c r="AB262" s="2">
        <v>0</v>
      </c>
      <c r="AC262" s="2">
        <v>0</v>
      </c>
      <c r="AD262" s="2">
        <v>0</v>
      </c>
    </row>
    <row r="263" spans="1:30" x14ac:dyDescent="0.35">
      <c r="A263" t="s">
        <v>38</v>
      </c>
      <c r="B263" t="s">
        <v>254</v>
      </c>
      <c r="C263" t="s">
        <v>132</v>
      </c>
      <c r="D263" s="23" t="s">
        <v>2448</v>
      </c>
      <c r="E263" s="1">
        <v>45961</v>
      </c>
      <c r="F263" s="3">
        <v>2025</v>
      </c>
      <c r="G263" s="1">
        <v>45966</v>
      </c>
      <c r="H263" t="s">
        <v>32</v>
      </c>
      <c r="I263" t="s">
        <v>33</v>
      </c>
      <c r="J263" t="s">
        <v>255</v>
      </c>
      <c r="K263" t="s">
        <v>35</v>
      </c>
      <c r="L263" s="1">
        <v>45810</v>
      </c>
      <c r="M263" t="s">
        <v>35</v>
      </c>
      <c r="O263">
        <v>0</v>
      </c>
      <c r="P263" t="s">
        <v>36</v>
      </c>
      <c r="Q263" t="s">
        <v>76</v>
      </c>
      <c r="R263" s="2">
        <v>5500</v>
      </c>
      <c r="S263" s="2">
        <v>2195</v>
      </c>
      <c r="T263" s="2">
        <v>2000</v>
      </c>
      <c r="U263" s="2">
        <v>9695</v>
      </c>
      <c r="V263" s="2">
        <v>0</v>
      </c>
      <c r="W263" s="2">
        <v>0</v>
      </c>
      <c r="X263" s="2">
        <v>0</v>
      </c>
      <c r="Y263" s="2">
        <v>0</v>
      </c>
      <c r="Z263" s="2">
        <v>5500</v>
      </c>
      <c r="AA263" s="2">
        <v>2195</v>
      </c>
      <c r="AB263" s="2">
        <v>2000</v>
      </c>
      <c r="AC263" s="2">
        <v>9695</v>
      </c>
      <c r="AD263" s="2">
        <v>0</v>
      </c>
    </row>
  </sheetData>
  <autoFilter ref="A2:AD2" xr:uid="{FD46ADAE-6D1A-4D53-992C-8788C50B98EC}">
    <sortState xmlns:xlrd2="http://schemas.microsoft.com/office/spreadsheetml/2017/richdata2" ref="A3:AD263">
      <sortCondition ref="E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8F84-93BB-4F7C-BF12-480995181555}">
  <dimension ref="B4:G16"/>
  <sheetViews>
    <sheetView workbookViewId="0">
      <selection activeCell="I16" sqref="I16"/>
    </sheetView>
  </sheetViews>
  <sheetFormatPr defaultRowHeight="14.5" x14ac:dyDescent="0.35"/>
  <cols>
    <col min="4" max="4" width="14.453125" bestFit="1" customWidth="1"/>
    <col min="5" max="5" width="14.26953125" bestFit="1" customWidth="1"/>
    <col min="6" max="6" width="15.26953125" bestFit="1" customWidth="1"/>
    <col min="7" max="7" width="15.54296875" customWidth="1"/>
  </cols>
  <sheetData>
    <row r="4" spans="2:7" ht="15" thickBot="1" x14ac:dyDescent="0.4">
      <c r="B4" t="s">
        <v>512</v>
      </c>
    </row>
    <row r="5" spans="2:7" x14ac:dyDescent="0.35">
      <c r="B5" s="6" t="s">
        <v>515</v>
      </c>
      <c r="C5" s="7" t="s">
        <v>516</v>
      </c>
      <c r="D5" s="7" t="s">
        <v>517</v>
      </c>
      <c r="E5" s="7" t="s">
        <v>518</v>
      </c>
      <c r="F5" s="7" t="s">
        <v>19</v>
      </c>
      <c r="G5" s="8" t="s">
        <v>513</v>
      </c>
    </row>
    <row r="6" spans="2:7" x14ac:dyDescent="0.35">
      <c r="B6" s="9">
        <v>2016</v>
      </c>
      <c r="C6" s="4">
        <v>97</v>
      </c>
      <c r="D6" s="5">
        <v>1726694.9099999995</v>
      </c>
      <c r="E6" s="5">
        <v>33459.75</v>
      </c>
      <c r="F6" s="5">
        <v>1760154.6599999995</v>
      </c>
      <c r="G6" s="10">
        <v>148496000</v>
      </c>
    </row>
    <row r="7" spans="2:7" x14ac:dyDescent="0.35">
      <c r="B7" s="9">
        <v>2017</v>
      </c>
      <c r="C7" s="4">
        <v>120</v>
      </c>
      <c r="D7" s="5">
        <v>670798.97000000044</v>
      </c>
      <c r="E7" s="5">
        <v>0</v>
      </c>
      <c r="F7" s="5">
        <v>670798.97000000044</v>
      </c>
      <c r="G7" s="10">
        <v>175054638</v>
      </c>
    </row>
    <row r="8" spans="2:7" x14ac:dyDescent="0.35">
      <c r="B8" s="9">
        <v>2018</v>
      </c>
      <c r="C8" s="4">
        <v>150</v>
      </c>
      <c r="D8" s="5">
        <v>2141321.21</v>
      </c>
      <c r="E8" s="5">
        <v>353394.23</v>
      </c>
      <c r="F8" s="5">
        <v>2494715.44</v>
      </c>
      <c r="G8" s="10">
        <v>206856325</v>
      </c>
    </row>
    <row r="9" spans="2:7" x14ac:dyDescent="0.35">
      <c r="B9" s="9">
        <v>2019</v>
      </c>
      <c r="C9" s="4">
        <v>81</v>
      </c>
      <c r="D9" s="5">
        <v>741690.3400000002</v>
      </c>
      <c r="E9" s="5">
        <v>358345.18</v>
      </c>
      <c r="F9" s="5">
        <v>1100035.5199999998</v>
      </c>
      <c r="G9" s="10">
        <v>198113479</v>
      </c>
    </row>
    <row r="10" spans="2:7" x14ac:dyDescent="0.35">
      <c r="B10" s="9">
        <v>2020</v>
      </c>
      <c r="C10" s="4">
        <v>66</v>
      </c>
      <c r="D10" s="5">
        <v>344394.89000000007</v>
      </c>
      <c r="E10" s="5">
        <v>13259.48</v>
      </c>
      <c r="F10" s="5">
        <v>357654.37000000005</v>
      </c>
      <c r="G10" s="10">
        <v>171828833</v>
      </c>
    </row>
    <row r="11" spans="2:7" x14ac:dyDescent="0.35">
      <c r="B11" s="9">
        <v>2021</v>
      </c>
      <c r="C11" s="4">
        <v>64</v>
      </c>
      <c r="D11" s="5">
        <v>896988.45999999973</v>
      </c>
      <c r="E11" s="5">
        <v>109806.37</v>
      </c>
      <c r="F11" s="5">
        <v>1006794.8299999997</v>
      </c>
      <c r="G11" s="10">
        <v>206131450</v>
      </c>
    </row>
    <row r="12" spans="2:7" x14ac:dyDescent="0.35">
      <c r="B12" s="9">
        <v>2022</v>
      </c>
      <c r="C12" s="4">
        <v>74</v>
      </c>
      <c r="D12" s="4">
        <v>569148.86000000022</v>
      </c>
      <c r="E12" s="4">
        <v>122371.19</v>
      </c>
      <c r="F12" s="5">
        <v>691520.05000000016</v>
      </c>
      <c r="G12" s="10">
        <v>242011582</v>
      </c>
    </row>
    <row r="13" spans="2:7" x14ac:dyDescent="0.35">
      <c r="B13" s="9">
        <v>2023</v>
      </c>
      <c r="C13" s="4">
        <v>67</v>
      </c>
      <c r="D13" s="4">
        <v>1377997.4000000001</v>
      </c>
      <c r="E13" s="4">
        <v>91480.07</v>
      </c>
      <c r="F13" s="5">
        <v>1469477.47</v>
      </c>
      <c r="G13" s="10">
        <v>254625527</v>
      </c>
    </row>
    <row r="14" spans="2:7" x14ac:dyDescent="0.35">
      <c r="B14" s="9">
        <v>2024</v>
      </c>
      <c r="C14" s="4">
        <v>86</v>
      </c>
      <c r="D14" s="4">
        <v>775891.19000000029</v>
      </c>
      <c r="E14" s="4">
        <v>582946.79</v>
      </c>
      <c r="F14" s="5">
        <v>1358837.98</v>
      </c>
      <c r="G14" s="10">
        <v>287672424</v>
      </c>
    </row>
    <row r="15" spans="2:7" x14ac:dyDescent="0.35">
      <c r="B15" s="9">
        <v>2025</v>
      </c>
      <c r="C15" s="4">
        <v>34</v>
      </c>
      <c r="D15" s="4">
        <v>116482.04000000001</v>
      </c>
      <c r="E15" s="4">
        <v>125745.94999999998</v>
      </c>
      <c r="F15" s="5">
        <v>242227.99000000005</v>
      </c>
      <c r="G15" s="10">
        <v>245554012</v>
      </c>
    </row>
    <row r="16" spans="2:7" ht="15" thickBot="1" x14ac:dyDescent="0.4">
      <c r="B16" s="11" t="s">
        <v>514</v>
      </c>
      <c r="C16" s="12">
        <f>SUM(C6:C15)</f>
        <v>839</v>
      </c>
      <c r="D16" s="13">
        <f t="shared" ref="D16:G16" si="0">SUM(D6:D15)</f>
        <v>9361408.2699999977</v>
      </c>
      <c r="E16" s="13">
        <f t="shared" si="0"/>
        <v>1790809.01</v>
      </c>
      <c r="F16" s="13">
        <f t="shared" si="0"/>
        <v>11152217.280000001</v>
      </c>
      <c r="G16" s="14">
        <f t="shared" si="0"/>
        <v>2136344270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16-21 Detail</vt:lpstr>
      <vt:lpstr>22-25 Detail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Dangi, Rakesh</cp:lastModifiedBy>
  <dcterms:created xsi:type="dcterms:W3CDTF">2025-11-12T16:06:49Z</dcterms:created>
  <dcterms:modified xsi:type="dcterms:W3CDTF">2026-06-12T12:38:50Z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da2f77-f324-485c-af55-68e284b91919_Enabled">
    <vt:lpwstr>true</vt:lpwstr>
  </property>
  <property fmtid="{D5CDD505-2E9C-101B-9397-08002B2CF9AE}" pid="3" name="MSIP_Label_4eda2f77-f324-485c-af55-68e284b91919_SetDate">
    <vt:lpwstr>2026-06-11T14:20:11Z</vt:lpwstr>
  </property>
  <property fmtid="{D5CDD505-2E9C-101B-9397-08002B2CF9AE}" pid="4" name="MSIP_Label_4eda2f77-f324-485c-af55-68e284b91919_Method">
    <vt:lpwstr>Standard</vt:lpwstr>
  </property>
  <property fmtid="{D5CDD505-2E9C-101B-9397-08002B2CF9AE}" pid="5" name="MSIP_Label_4eda2f77-f324-485c-af55-68e284b91919_Name">
    <vt:lpwstr>APAC</vt:lpwstr>
  </property>
  <property fmtid="{D5CDD505-2E9C-101B-9397-08002B2CF9AE}" pid="6" name="MSIP_Label_4eda2f77-f324-485c-af55-68e284b91919_SiteId">
    <vt:lpwstr>2a6e6092-73e4-4752-b1a5-477a17f5056d</vt:lpwstr>
  </property>
  <property fmtid="{D5CDD505-2E9C-101B-9397-08002B2CF9AE}" pid="7" name="MSIP_Label_4eda2f77-f324-485c-af55-68e284b91919_ActionId">
    <vt:lpwstr>248a4d3f-c0ae-4394-ae3f-11b39f156985</vt:lpwstr>
  </property>
  <property fmtid="{D5CDD505-2E9C-101B-9397-08002B2CF9AE}" pid="8" name="MSIP_Label_4eda2f77-f324-485c-af55-68e284b91919_ContentBits">
    <vt:lpwstr>0</vt:lpwstr>
  </property>
  <property fmtid="{D5CDD505-2E9C-101B-9397-08002B2CF9AE}" pid="9" name="MSIP_Label_4eda2f77-f324-485c-af55-68e284b91919_Tag">
    <vt:lpwstr>10, 1, 2, 1</vt:lpwstr>
  </property>
</Properties>
</file>